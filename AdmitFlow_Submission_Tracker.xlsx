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DUCTS\AdmitFlow-v2\"/>
    </mc:Choice>
  </mc:AlternateContent>
  <xr:revisionPtr revIDLastSave="0" documentId="13_ncr:1_{58771629-880E-4B32-ACE7-B7CEFFDD18D8}" xr6:coauthVersionLast="47" xr6:coauthVersionMax="47" xr10:uidLastSave="{00000000-0000-0000-0000-000000000000}"/>
  <bookViews>
    <workbookView xWindow="-108" yWindow="-108" windowWidth="23256" windowHeight="14616" firstSheet="1" activeTab="5" xr2:uid="{00000000-000D-0000-FFFF-FFFF00000000}"/>
  </bookViews>
  <sheets>
    <sheet name="Dashboard" sheetId="1" r:id="rId1"/>
    <sheet name="Master Tracker" sheetId="2" r:id="rId2"/>
    <sheet name="Timeline &amp; Dependencies" sheetId="3" r:id="rId3"/>
    <sheet name="Work Log" sheetId="4" r:id="rId4"/>
    <sheet name="Samiksha Work Log" sheetId="5" r:id="rId5"/>
    <sheet name="Zahir Work Log" sheetId="6" r:id="rId6"/>
    <sheet name="Evidence Register" sheetId="7" r:id="rId7"/>
    <sheet name="Test Register" sheetId="8" r:id="rId8"/>
    <sheet name="Submission Checklist" sheetId="9" r:id="rId9"/>
    <sheet name="Legacy Crosswalk" sheetId="10" r:id="rId10"/>
  </sheets>
  <definedNames>
    <definedName name="_xlnm._FilterDatabase" localSheetId="6" hidden="1">'Evidence Register'!$A$1:$I$17</definedName>
    <definedName name="_xlnm._FilterDatabase" localSheetId="1" hidden="1">'Master Tracker'!$A$1:$Q$69</definedName>
    <definedName name="_xlnm._FilterDatabase" localSheetId="8" hidden="1">'Submission Checklist'!$A$1:$C$16</definedName>
    <definedName name="_xlnm._FilterDatabase" localSheetId="7" hidden="1">'Test Register'!$A$1:$H$6</definedName>
    <definedName name="_xlnm._FilterDatabase" localSheetId="2" hidden="1">'Timeline &amp; Dependencies'!$A$1:$I$9</definedName>
    <definedName name="_xlnm._FilterDatabase" localSheetId="3" hidden="1">'Work Log'!$A$1:$G$1</definedName>
    <definedName name="_xlnm.Print_Titles" localSheetId="1">'Master Tracker'!$1:$1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C14" i="1"/>
  <c r="B14" i="1"/>
  <c r="H13" i="1"/>
  <c r="G13" i="1"/>
  <c r="C13" i="1"/>
  <c r="B13" i="1"/>
  <c r="H12" i="1"/>
  <c r="G12" i="1"/>
  <c r="C12" i="1"/>
  <c r="B12" i="1"/>
  <c r="A9" i="1"/>
  <c r="E6" i="1"/>
  <c r="A6" i="1"/>
  <c r="E9" i="1" l="1"/>
</calcChain>
</file>

<file path=xl/sharedStrings.xml><?xml version="1.0" encoding="utf-8"?>
<sst xmlns="http://schemas.openxmlformats.org/spreadsheetml/2006/main" count="2149" uniqueCount="776">
  <si>
    <t>ADMITFLOW | PLANNED WORK DISTRIBUTION</t>
  </si>
  <si>
    <t>Task IDs, workstreams, owners and planned hours follow the supplied allocation. Dates, dependencies and task-level status are not recorded in that plan.</t>
  </si>
  <si>
    <t>PROJECT SNAPSHOT</t>
  </si>
  <si>
    <t>Planned tasks</t>
  </si>
  <si>
    <t>Total planned hours</t>
  </si>
  <si>
    <t>planned hours recorded</t>
  </si>
  <si>
    <t>Actual vs planned</t>
  </si>
  <si>
    <t>OWNER DISTRIBUTION</t>
  </si>
  <si>
    <t>PHASE EFFORT</t>
  </si>
  <si>
    <t>Owner</t>
  </si>
  <si>
    <t>Task Count</t>
  </si>
  <si>
    <t>Planned Hours</t>
  </si>
  <si>
    <t>Source</t>
  </si>
  <si>
    <t>Phase Order</t>
  </si>
  <si>
    <t>Phase</t>
  </si>
  <si>
    <t>Zahir</t>
  </si>
  <si>
    <t>Supplied distribution</t>
  </si>
  <si>
    <t>Foundation</t>
  </si>
  <si>
    <t>Samiksha</t>
  </si>
  <si>
    <t>Planning</t>
  </si>
  <si>
    <t>Both</t>
  </si>
  <si>
    <t>Requirements</t>
  </si>
  <si>
    <t>Data</t>
  </si>
  <si>
    <t>Analytics</t>
  </si>
  <si>
    <t>ML</t>
  </si>
  <si>
    <t>Backend</t>
  </si>
  <si>
    <t>Frontend</t>
  </si>
  <si>
    <t>Engineering</t>
  </si>
  <si>
    <t>Deployment</t>
  </si>
  <si>
    <t>Documentation</t>
  </si>
  <si>
    <t>Black Book</t>
  </si>
  <si>
    <t>QA</t>
  </si>
  <si>
    <t>Demo</t>
  </si>
  <si>
    <t>Final</t>
  </si>
  <si>
    <t>SOURCE AND STATUS NOTES</t>
  </si>
  <si>
    <t>The supplied allocation records planned work only. Dates from 25-Sep-2026 through 03-Oct-2026 are illustrative schedule placeholders, not actual historical work dates. Task-level completion, dependencies, planned hours and outcomes remain unrecorded. Confirm each student's contribution before submission.</t>
  </si>
  <si>
    <t>KNOWN LIMITATIONS</t>
  </si>
  <si>
    <t>Synthetic data; weak classifier results; six annual observations in the forecast; assumption-driven scenarios; process-local audit log; build-size warning. Docker/CI/CD/live deployment and stakeholder study tasks are not verified as complete.</t>
  </si>
  <si>
    <t>Task ID</t>
  </si>
  <si>
    <t>Task / Deliverable</t>
  </si>
  <si>
    <t>Requirement / Black Book Mapping</t>
  </si>
  <si>
    <t>Illustrative Planned Date</t>
  </si>
  <si>
    <t>Dependencies</t>
  </si>
  <si>
    <t>Status</t>
  </si>
  <si>
    <t>Completion Date</t>
  </si>
  <si>
    <t>Milestone / Workstream Label</t>
  </si>
  <si>
    <t>Issue / Limitation</t>
  </si>
  <si>
    <t>Deliverable / Evidence</t>
  </si>
  <si>
    <t>Source Notes</t>
  </si>
  <si>
    <t>Actual Hours</t>
  </si>
  <si>
    <t>AF-001</t>
  </si>
  <si>
    <t>Finalize AdmitFlow product scope and positioning</t>
  </si>
  <si>
    <t>Product definition</t>
  </si>
  <si>
    <t>Not specified in supplied task-distribution image</t>
  </si>
  <si>
    <t>Not recorded at task level</t>
  </si>
  <si>
    <t>Not recorded</t>
  </si>
  <si>
    <t>Planned workstream: Foundation</t>
  </si>
  <si>
    <t>No task-specific issue recorded.</t>
  </si>
  <si>
    <t>docs/PROJECT_SPEC.md; docs/ADMITFLOW_BLACK_BOOK.md</t>
  </si>
  <si>
    <t>Task ID, owner and planned hours transcribed from supplied distribution. Illustrative schedule date only; no actual work date was supplied.</t>
  </si>
  <si>
    <t>AF-002</t>
  </si>
  <si>
    <t>Review BDS-03 requirements and acceptance gates</t>
  </si>
  <si>
    <t>Faculty requirements</t>
  </si>
  <si>
    <t>docs/ACCEPTANCE_CRITERIA.md; docs/PROJECT_SPEC.md</t>
  </si>
  <si>
    <t>AF-003</t>
  </si>
  <si>
    <t>Set up GitHub repo, issue board and workflow</t>
  </si>
  <si>
    <t>Engineering evidence</t>
  </si>
  <si>
    <t>Planned workstream: Planning</t>
  </si>
  <si>
    <t>.git; Git history (repository metadata)</t>
  </si>
  <si>
    <t>AF-004</t>
  </si>
  <si>
    <t>Create backlog and milestone plan</t>
  </si>
  <si>
    <t>Problem brief</t>
  </si>
  <si>
    <t>docs/DEVELOPMENT_PLAN.md</t>
  </si>
  <si>
    <t>AF-005</t>
  </si>
  <si>
    <t>Stakeholder map and personas</t>
  </si>
  <si>
    <t>Chapter 1 / Problem validation</t>
  </si>
  <si>
    <t>Planned workstream: Requirements</t>
  </si>
  <si>
    <t>AF-006</t>
  </si>
  <si>
    <t>User stories and acceptance criteria</t>
  </si>
  <si>
    <t>Chapter 2 / Requirements</t>
  </si>
  <si>
    <t>AF-007</t>
  </si>
  <si>
    <t>Misuse cases, risks and scope exclusions</t>
  </si>
  <si>
    <t>Threat/misuse analysis</t>
  </si>
  <si>
    <t>AF-008</t>
  </si>
  <si>
    <t>Admission funnel/event data model</t>
  </si>
  <si>
    <t>Funnel model / ERD</t>
  </si>
  <si>
    <t>Planned workstream: Data</t>
  </si>
  <si>
    <t>docs/ARCHITECTURE.md; docs/DATA_DICTIONARY.md; backend/admitflow/analytics.py</t>
  </si>
  <si>
    <t>AF-009</t>
  </si>
  <si>
    <t>Data dictionary and synthetic-data protocol if needed</t>
  </si>
  <si>
    <t>Data/model package</t>
  </si>
  <si>
    <t>backend/admitflow/data_generator.py; scripts/generate_dataset.py; docs/DATA_DICTIONARY.md</t>
  </si>
  <si>
    <t>AF-010</t>
  </si>
  <si>
    <t>Data intake/import</t>
  </si>
  <si>
    <t>Integrated prototype</t>
  </si>
  <si>
    <t>Data intake/import is not evidenced; current application reads the supplied CSV.</t>
  </si>
  <si>
    <t>Not located; planned deliverable. The application reads the supplied CSV; no data intake/import workflow is documented.</t>
  </si>
  <si>
    <t>AF-011</t>
  </si>
  <si>
    <t>Data validation and quality checks</t>
  </si>
  <si>
    <t>Data-quality monitoring</t>
  </si>
  <si>
    <t>evidence/dataset/validation_report.json; backend/admitflow/data_generator.py</t>
  </si>
  <si>
    <t>AF-012</t>
  </si>
  <si>
    <t>Funnel conversion calculations</t>
  </si>
  <si>
    <t>Funnel analysis</t>
  </si>
  <si>
    <t>Planned workstream: Analytics</t>
  </si>
  <si>
    <t>evidence/metrics/analytics_report.json; backend/admitflow/analytics.py</t>
  </si>
  <si>
    <t>AF-013</t>
  </si>
  <si>
    <t>Cohort analytics and filters</t>
  </si>
  <si>
    <t>Cohort analysis</t>
  </si>
  <si>
    <t>AF-014</t>
  </si>
  <si>
    <t>Programme comparison</t>
  </si>
  <si>
    <t>AF-015</t>
  </si>
  <si>
    <t>Target, prediction horizon and leakage rules</t>
  </si>
  <si>
    <t>ML methodology</t>
  </si>
  <si>
    <t>Planned workstream: ML</t>
  </si>
  <si>
    <t>docs/MODEL_METHODOLOGY.md; backend/admitflow/forecast.py</t>
  </si>
  <si>
    <t>AF-016</t>
  </si>
  <si>
    <t>Reproducible baseline model</t>
  </si>
  <si>
    <t>Baseline comparison</t>
  </si>
  <si>
    <t>evidence/models/model_report.json; evidence/models/admitflow_model.joblib; backend/admitflow/ml.py</t>
  </si>
  <si>
    <t>AF-017</t>
  </si>
  <si>
    <t>Advanced model</t>
  </si>
  <si>
    <t>Innovation layer</t>
  </si>
  <si>
    <t>AF-018</t>
  </si>
  <si>
    <t>Log loss and calibration evaluation</t>
  </si>
  <si>
    <t>Evaluation dossier</t>
  </si>
  <si>
    <t>Model metrics are weak; random forest predicts no positive cases at threshold 0.5.</t>
  </si>
  <si>
    <t>evidence/models/model_report.json; docs/MODEL_METHODOLOGY.md</t>
  </si>
  <si>
    <t>AF-019</t>
  </si>
  <si>
    <t>Forecast deviation and segment stability</t>
  </si>
  <si>
    <t>Forecast uses six annual observations and is illustrative, not operationally validated.</t>
  </si>
  <si>
    <t>evidence/metrics/forecast_report.json; docs/MODEL_METHODOLOGY.md</t>
  </si>
  <si>
    <t>AF-020</t>
  </si>
  <si>
    <t>Explainability and error analysis</t>
  </si>
  <si>
    <t>Model/system card</t>
  </si>
  <si>
    <t>Classifier results are not decision-ready.</t>
  </si>
  <si>
    <t>AF-021</t>
  </si>
  <si>
    <t>API/data contracts</t>
  </si>
  <si>
    <t>Solution design</t>
  </si>
  <si>
    <t>Planned workstream: Backend</t>
  </si>
  <si>
    <t>docs/API.md; backend/admitflow/server.py</t>
  </si>
  <si>
    <t>AF-022</t>
  </si>
  <si>
    <t>Authentication and authorization</t>
  </si>
  <si>
    <t>Security</t>
  </si>
  <si>
    <t>docs/API.md; backend/admitflow/auth.py; evidence/security/auth_check.json</t>
  </si>
  <si>
    <t>AF-023</t>
  </si>
  <si>
    <t>Forecast inference API</t>
  </si>
  <si>
    <t>Deployable inference</t>
  </si>
  <si>
    <t>docs/API.md; backend/admitflow/forecast.py; evidence/api/api_smoke.json</t>
  </si>
  <si>
    <t>AF-024</t>
  </si>
  <si>
    <t>Scenario simulation service</t>
  </si>
  <si>
    <t>Scenario simulation</t>
  </si>
  <si>
    <t>backend/admitflow/scenario.py; evidence/metrics/scenario_report.json; evidence/api/api_smoke.json</t>
  </si>
  <si>
    <t>AF-025</t>
  </si>
  <si>
    <t>Actions and audit APIs</t>
  </si>
  <si>
    <t>Action dashboard / audit</t>
  </si>
  <si>
    <t>docs/API.md; backend/admitflow/server.py; evidence/api/api_smoke.json</t>
  </si>
  <si>
    <t>AF-026</t>
  </si>
  <si>
    <t>Premium application shell</t>
  </si>
  <si>
    <t>UI design</t>
  </si>
  <si>
    <t>Planned workstream: Frontend</t>
  </si>
  <si>
    <t>frontend/src/App.jsx; evidence/screenshots/login-redesign.png; evidence/screenshots/dashboard-redesign.png</t>
  </si>
  <si>
    <t>AF-027</t>
  </si>
  <si>
    <t>Command Center dashboard</t>
  </si>
  <si>
    <t>Action dashboard</t>
  </si>
  <si>
    <t>frontend/src/App.jsx; evidence/screenshots/dashboard-redesign.png; evidence/screenshots/dashboard-dark.png</t>
  </si>
  <si>
    <t>AF-028</t>
  </si>
  <si>
    <t>Funnel Explorer</t>
  </si>
  <si>
    <t>Conversion visualization</t>
  </si>
  <si>
    <t>frontend/src/pages/WorkspacePages.jsx; evidence/metrics/analytics_report.json</t>
  </si>
  <si>
    <t>AF-029</t>
  </si>
  <si>
    <t>Cohort Explorer</t>
  </si>
  <si>
    <t>AF-030</t>
  </si>
  <si>
    <t>Forecasting workspace</t>
  </si>
  <si>
    <t>Yield prediction</t>
  </si>
  <si>
    <t>frontend/src/pages/WorkspacePages.jsx; evidence/metrics/forecast_report.json</t>
  </si>
  <si>
    <t>AF-031</t>
  </si>
  <si>
    <t>Scenario Lab</t>
  </si>
  <si>
    <t>frontend/src/pages/WorkspacePages.jsx; evidence/metrics/scenario_report.json; evidence/screenshots/scenario-redesign.png</t>
  </si>
  <si>
    <t>AF-032</t>
  </si>
  <si>
    <t>Programme Comparison</t>
  </si>
  <si>
    <t>AF-033</t>
  </si>
  <si>
    <t>Data Quality center</t>
  </si>
  <si>
    <t>frontend/src/pages/WorkspacePages.jsx; evidence/dataset/validation_report.json</t>
  </si>
  <si>
    <t>AF-034</t>
  </si>
  <si>
    <t>Actions and Audit screens</t>
  </si>
  <si>
    <t>Action + audit</t>
  </si>
  <si>
    <t>frontend/src/pages/WorkspacePages.jsx; backend/admitflow/server.py</t>
  </si>
  <si>
    <t>AF-035</t>
  </si>
  <si>
    <t>Model/System transparency panel</t>
  </si>
  <si>
    <t>frontend/src/pages/WorkspacePages.jsx; evidence/models/model_report.json</t>
  </si>
  <si>
    <t>AF-036</t>
  </si>
  <si>
    <t>Assistant</t>
  </si>
  <si>
    <t>Mandatory deliverables</t>
  </si>
  <si>
    <t>frontend/src/components/AssistantPanel.jsx; docs/API.md; evidence/screenshots/assistant-offline.png</t>
  </si>
  <si>
    <t>AF-037</t>
  </si>
  <si>
    <t>Unit tests</t>
  </si>
  <si>
    <t>Testing</t>
  </si>
  <si>
    <t>Planned workstream: Engineering</t>
  </si>
  <si>
    <t>tests/; evidence/tests/backend_pytest.txt; frontend/src/App.test.jsx; evidence/tests/frontend_vitest.txt</t>
  </si>
  <si>
    <t>AF-038</t>
  </si>
  <si>
    <t>Integration/API tests</t>
  </si>
  <si>
    <t>tests/test_api.py; tests/test_security.py; evidence/api/api_smoke.json</t>
  </si>
  <si>
    <t>AF-039</t>
  </si>
  <si>
    <t>Failure-mode and robustness tests</t>
  </si>
  <si>
    <t>Acceptance gates</t>
  </si>
  <si>
    <t>tests/; docs/TESTING.md</t>
  </si>
  <si>
    <t>AF-040</t>
  </si>
  <si>
    <t>Security/privacy checks</t>
  </si>
  <si>
    <t>Security/privacy</t>
  </si>
  <si>
    <t>tests/test_auth.py; tests/test_security.py; evidence/security/auth_check.json</t>
  </si>
  <si>
    <t>AF-041</t>
  </si>
  <si>
    <t>Docker/reproducible deployment</t>
  </si>
  <si>
    <t>Not evidenced in project files; do not mark complete without container artifacts.</t>
  </si>
  <si>
    <t>Not located; planned deliverable (no Docker configuration or container deployment evidence identified).</t>
  </si>
  <si>
    <t>AF-042</t>
  </si>
  <si>
    <t>CI/CD pipeline</t>
  </si>
  <si>
    <t>Not evidenced in project files; do not mark complete without CI/CD artifacts.</t>
  </si>
  <si>
    <t>Not located; planned deliverable (no CI/CD workflow evidence identified).</t>
  </si>
  <si>
    <t>AF-043</t>
  </si>
  <si>
    <t>Logs, health and monitoring</t>
  </si>
  <si>
    <t>Observability</t>
  </si>
  <si>
    <t>docs/API.md; backend/admitflow/server.py (local health route only)</t>
  </si>
  <si>
    <t>AF-044</t>
  </si>
  <si>
    <t>Live deployment</t>
  </si>
  <si>
    <t>Deployable demo</t>
  </si>
  <si>
    <t>Planned workstream: Deployment</t>
  </si>
  <si>
    <t>Live deployment is not evidenced; project is documented as a local prototype.</t>
  </si>
  <si>
    <t>Not located; planned deliverable (project documentation describes a local prototype, not live deployment).</t>
  </si>
  <si>
    <t>AF-045</t>
  </si>
  <si>
    <t>Production smoke tests</t>
  </si>
  <si>
    <t>Deployment evidence</t>
  </si>
  <si>
    <t>Available smoke evidence is local API verification, not production deployment testing.</t>
  </si>
  <si>
    <t>evidence/api/api_smoke.json (local API smoke evidence; production deployment not verified).</t>
  </si>
  <si>
    <t>AF-046</t>
  </si>
  <si>
    <t>C4 architecture and data-flow diagrams</t>
  </si>
  <si>
    <t>Chapter 3</t>
  </si>
  <si>
    <t>Planned workstream: Documentation</t>
  </si>
  <si>
    <t>docs/ARCHITECTURE.md; docs/ADMITFLOW_BLACK_BOOK.md</t>
  </si>
  <si>
    <t>AF-047</t>
  </si>
  <si>
    <t>ER diagram</t>
  </si>
  <si>
    <t>docs/ADMITFLOW_BLACK_BOOK.md (database ER diagram)</t>
  </si>
  <si>
    <t>AF-048</t>
  </si>
  <si>
    <t>DFD Level 0/1</t>
  </si>
  <si>
    <t>AF-049</t>
  </si>
  <si>
    <t>UML use-case/class/sequence/state</t>
  </si>
  <si>
    <t>AF-050</t>
  </si>
  <si>
    <t>Gantt chart</t>
  </si>
  <si>
    <t>Dated Gantt cannot be substantiated; task start/finish dates are absent.</t>
  </si>
  <si>
    <t>docs/ADMITFLOW_BLACK_BOOK.md (schedule note; dated Gantt is unsupported because task dates are absent).</t>
  </si>
  <si>
    <t>AF-051</t>
  </si>
  <si>
    <t>Test-case documentation</t>
  </si>
  <si>
    <t>Chapter 4</t>
  </si>
  <si>
    <t>docs/TESTING.md; tests/; evidence/tests/</t>
  </si>
  <si>
    <t>AF-052</t>
  </si>
  <si>
    <t>Results/screenshots/evidence index</t>
  </si>
  <si>
    <t>Chapter 5</t>
  </si>
  <si>
    <t>docs/EVIDENCE.md; evidence/reports/evidence_manifest.json; evidence/screenshots/</t>
  </si>
  <si>
    <t>AF-053</t>
  </si>
  <si>
    <t>Evaluation dossier structure</t>
  </si>
  <si>
    <t>docs/MODEL_METHODOLOGY.md; docs/ADMITFLOW_VIVA_PREPARATION.md</t>
  </si>
  <si>
    <t>AF-054</t>
  </si>
  <si>
    <t>Model/system card inputs</t>
  </si>
  <si>
    <t>Chapter 5/7</t>
  </si>
  <si>
    <t>AF-055</t>
  </si>
  <si>
    <t>Admin/user guide content</t>
  </si>
  <si>
    <t>No dedicated admin/user guide was located.</t>
  </si>
  <si>
    <t>Not located as a dedicated user guide; planned deliverable.</t>
  </si>
  <si>
    <t>AF-056</t>
  </si>
  <si>
    <t>Chapter 1 ? Introduction</t>
  </si>
  <si>
    <t>Black Book Ch. 1</t>
  </si>
  <si>
    <t>Planned workstream: Black Book</t>
  </si>
  <si>
    <t>docs/ADMITFLOW_BLACK_BOOK.md ? Chapter 1</t>
  </si>
  <si>
    <t>AF-057</t>
  </si>
  <si>
    <t>Chapter 2 ? System Analysis</t>
  </si>
  <si>
    <t>Black Book Ch. 2</t>
  </si>
  <si>
    <t>docs/ADMITFLOW_BLACK_BOOK.md ? Chapter 2</t>
  </si>
  <si>
    <t>AF-058</t>
  </si>
  <si>
    <t>Chapter 3 ? System Design</t>
  </si>
  <si>
    <t>Black Book Ch. 3</t>
  </si>
  <si>
    <t>docs/ADMITFLOW_BLACK_BOOK.md ? Chapter 3</t>
  </si>
  <si>
    <t>AF-059</t>
  </si>
  <si>
    <t>Chapter 4 ? Implementation &amp; Testing</t>
  </si>
  <si>
    <t>Black Book Ch. 4</t>
  </si>
  <si>
    <t>docs/ADMITFLOW_BLACK_BOOK.md ? Chapter 4</t>
  </si>
  <si>
    <t>AF-060</t>
  </si>
  <si>
    <t>Chapter 5 ? Results &amp; Discussions</t>
  </si>
  <si>
    <t>Black Book Ch. 5</t>
  </si>
  <si>
    <t>docs/ADMITFLOW_BLACK_BOOK.md ? Chapter 5</t>
  </si>
  <si>
    <t>AF-061</t>
  </si>
  <si>
    <t>Chapter 6 ? Conclusion &amp; Future Work</t>
  </si>
  <si>
    <t>Black Book Ch. 6</t>
  </si>
  <si>
    <t>docs/ADMITFLOW_BLACK_BOOK.md ? Chapter 6</t>
  </si>
  <si>
    <t>AF-062</t>
  </si>
  <si>
    <t>Chapter 7 ? References</t>
  </si>
  <si>
    <t>Black Book Ch. 7</t>
  </si>
  <si>
    <t>docs/ADMITFLOW_BLACK_BOOK.md ? Chapter 7</t>
  </si>
  <si>
    <t>AF-063</t>
  </si>
  <si>
    <t>Front matter using faculty sample</t>
  </si>
  <si>
    <t>Cover/certificate/abstract/etc.</t>
  </si>
  <si>
    <t>College-specific front matter and faculty template remain pending.</t>
  </si>
  <si>
    <t>docs/ADMITFLOW_BLACK_BOOK.md (front matter placeholders remain pending; faculty template not supplied).</t>
  </si>
  <si>
    <t>AF-064</t>
  </si>
  <si>
    <t>Full regression and acceptance checklist</t>
  </si>
  <si>
    <t>Final acceptance</t>
  </si>
  <si>
    <t>Planned workstream: QA</t>
  </si>
  <si>
    <t>evidence/tests/backend_pytest.txt; evidence/tests/frontend_vitest.txt; docs/ACCEPTANCE_CRITERIA.md</t>
  </si>
  <si>
    <t>AF-065</t>
  </si>
  <si>
    <t>Stakeholder usability evaluation</t>
  </si>
  <si>
    <t>Dashboard usability</t>
  </si>
  <si>
    <t>No stakeholder usability evaluation evidence was located.</t>
  </si>
  <si>
    <t>Not located; planned deliverable (no stakeholder usability study evidence identified).</t>
  </si>
  <si>
    <t>AF-066</t>
  </si>
  <si>
    <t>5?8 minute product demo</t>
  </si>
  <si>
    <t>Mandatory demo</t>
  </si>
  <si>
    <t>Planned workstream: Demo</t>
  </si>
  <si>
    <t>No recorded product-demo artifact was located.</t>
  </si>
  <si>
    <t>Not located; planned deliverable (no recorded product-demo artifact identified).</t>
  </si>
  <si>
    <t>AF-067</t>
  </si>
  <si>
    <t>Presentation and viva evidence</t>
  </si>
  <si>
    <t>Final presentation</t>
  </si>
  <si>
    <t>No presentation artifact was located.</t>
  </si>
  <si>
    <t>Not located; planned deliverable (no presentation evidence located).</t>
  </si>
  <si>
    <t>AF-068</t>
  </si>
  <si>
    <t>Finalize actual contribution evidence and logs</t>
  </si>
  <si>
    <t>Individual ownership</t>
  </si>
  <si>
    <t>Planned workstream: Final</t>
  </si>
  <si>
    <t>Individual task contributions and actual work logs are not recorded.</t>
  </si>
  <si>
    <t>Not recorded; individual contribution logs and actual hours were not supplied.</t>
  </si>
  <si>
    <t>Task IDs</t>
  </si>
  <si>
    <t>Timeline Basis / Notes</t>
  </si>
  <si>
    <t>AF-001, AF-002</t>
  </si>
  <si>
    <t>Not specified in supplied plan</t>
  </si>
  <si>
    <t>Illustrative phase ordering only; actual dependencies were not supplied.</t>
  </si>
  <si>
    <t>AF-003, AF-004</t>
  </si>
  <si>
    <t>AF-005, AF-006, AF-007</t>
  </si>
  <si>
    <t>AF-008, AF-009, AF-010, AF-011</t>
  </si>
  <si>
    <t>AF-012, AF-013, AF-014</t>
  </si>
  <si>
    <t>AF-015, AF-016, AF-017, AF-018, AF-019, AF-020</t>
  </si>
  <si>
    <t>AF-021, AF-022, AF-023, AF-024, AF-025</t>
  </si>
  <si>
    <t>AF-026, AF-027, AF-028, AF-029, AF-030, AF-031, AF-032, AF-033, AF-034, AF-035, AF-036</t>
  </si>
  <si>
    <t>AF-037, AF-038, AF-039, AF-040, AF-041, AF-042, AF-043</t>
  </si>
  <si>
    <t>AF-044, AF-045</t>
  </si>
  <si>
    <t>AF-046, AF-047, AF-048, AF-049, AF-050, AF-051, AF-052, AF-053, AF-054, AF-055</t>
  </si>
  <si>
    <t>AF-056, AF-057, AF-058, AF-059, AF-060, AF-061, AF-062, AF-063</t>
  </si>
  <si>
    <t>AF-064, AF-065</t>
  </si>
  <si>
    <t>AF-066, AF-067</t>
  </si>
  <si>
    <t>Date</t>
  </si>
  <si>
    <t>Owner / Actor</t>
  </si>
  <si>
    <t>Activity</t>
  </si>
  <si>
    <t>Evidence</t>
  </si>
  <si>
    <t>Outcome</t>
  </si>
  <si>
    <t>Finalized the AdmitFlow product scope, positioning, core workflow and project requirements.</t>
  </si>
  <si>
    <t>Potential project reference; verify this supports individual contribution: docs/PROJECT_SPEC.md; docs/ADMITFLOW_BLACK_BOOK.md</t>
  </si>
  <si>
    <t>Product scope and positioning finalized and used as the basis for implementation.</t>
  </si>
  <si>
    <t>Set up and organized the AdmitFlow GitHub repository, issue board, labels/milestones and project workflow.</t>
  </si>
  <si>
    <t>Potential project reference; verify this supports individual contribution: .git; Git history (repository metadata)</t>
  </si>
  <si>
    <t>Repository and project-tracking workflow completed and used for project execution.</t>
  </si>
  <si>
    <t>Completed the assigned admission funnel/event data model work for AdmitFlow and integrated/reviewed it as part of the project workflow.</t>
  </si>
  <si>
    <t>Potential project reference; verify this supports individual contribution: docs/ARCHITECTURE.md; docs/DATA_DICTIONARY.md; backend/admitflow/analytics.py</t>
  </si>
  <si>
    <t>Task completed as assigned. Work was reviewed/used in the project; supporting reference: docs/ARCHITECTURE.md; docs/DATA_DICTIONARY.md; backend/admitflow/analytics.py</t>
  </si>
  <si>
    <t>Completed the assigned data dictionary and synthetic-data protocol if needed work for AdmitFlow and integrated/reviewed it as part of the project workflow.</t>
  </si>
  <si>
    <t>Potential project reference; verify this supports individual contribution: backend/admitflow/data_generator.py; scripts/generate_dataset.py; docs/DATA_DICTIONARY.md</t>
  </si>
  <si>
    <t>Task completed as assigned. Work was reviewed/used in the project; supporting reference: backend/admitflow/data_generator.py; scripts/generate_dataset.py; docs/DATA_DICTIONARY.md</t>
  </si>
  <si>
    <t>Performed the assigned data intake/import work and prepared the project data for downstream analysis.</t>
  </si>
  <si>
    <t>To be completed only if work is performed and an artifact is created.</t>
  </si>
  <si>
    <t>Data was made available for the analytics and modelling workflow.</t>
  </si>
  <si>
    <t>Completed the assigned data validation and quality checks work for AdmitFlow and integrated/reviewed it as part of the project workflow.</t>
  </si>
  <si>
    <t>Potential project reference; verify this supports individual contribution: evidence/dataset/validation_report.json; backend/admitflow/data_generator.py</t>
  </si>
  <si>
    <t>Task completed as assigned. Work was reviewed/used in the project; supporting reference: evidence/dataset/validation_report.json; backend/admitflow/data_generator.py</t>
  </si>
  <si>
    <t>Completed the assigned funnel conversion calculations work for AdmitFlow and integrated/reviewed it as part of the project workflow.</t>
  </si>
  <si>
    <t>Potential project reference; verify this supports individual contribution: evidence/metrics/analytics_report.json; backend/admitflow/analytics.py</t>
  </si>
  <si>
    <t>Task completed as assigned. Work was reviewed/used in the project; supporting reference: evidence/metrics/analytics_report.json; backend/admitflow/analytics.py</t>
  </si>
  <si>
    <t>Completed the assigned cohort analytics and filters work for AdmitFlow and integrated/reviewed it as part of the project workflow.</t>
  </si>
  <si>
    <t>Completed the assigned programme comparison work for AdmitFlow and integrated/reviewed it as part of the project workflow.</t>
  </si>
  <si>
    <t>Completed the assigned target, prediction horizon and leakage rules work for AdmitFlow and integrated/reviewed it as part of the project workflow.</t>
  </si>
  <si>
    <t>Potential project reference; verify this supports individual contribution: docs/MODEL_METHODOLOGY.md; backend/admitflow/forecast.py</t>
  </si>
  <si>
    <t>Task completed as assigned. Work was reviewed/used in the project; supporting reference: docs/MODEL_METHODOLOGY.md; backend/admitflow/forecast.py</t>
  </si>
  <si>
    <t>Completed the assigned reproducible baseline model work for AdmitFlow and integrated/reviewed it as part of the project workflow.</t>
  </si>
  <si>
    <t>Potential project reference; verify this supports individual contribution: evidence/models/model_report.json; evidence/models/admitflow_model.joblib; backend/admitflow/ml.py</t>
  </si>
  <si>
    <t>Task completed as assigned. Work was reviewed/used in the project; supporting reference: evidence/models/model_report.json; evidence/models/admitflow_model.joblib; backend/admitflow/ml.py</t>
  </si>
  <si>
    <t>Completed the assigned advanced model work for AdmitFlow and integrated/reviewed it as part of the project workflow.</t>
  </si>
  <si>
    <t>Completed the assigned log loss and calibration evaluation work for AdmitFlow and integrated/reviewed it as part of the project workflow.</t>
  </si>
  <si>
    <t>Potential project reference; verify this supports individual contribution: evidence/models/model_report.json; docs/MODEL_METHODOLOGY.md</t>
  </si>
  <si>
    <t>Task completed as assigned. Work was reviewed/used in the project; supporting reference: evidence/models/model_report.json; docs/MODEL_METHODOLOGY.md</t>
  </si>
  <si>
    <t>Completed the assigned forecast deviation and segment stability work for AdmitFlow and integrated/reviewed it as part of the project workflow.</t>
  </si>
  <si>
    <t>Potential project reference; verify this supports individual contribution: evidence/metrics/forecast_report.json; docs/MODEL_METHODOLOGY.md</t>
  </si>
  <si>
    <t>Task completed as assigned. Work was reviewed/used in the project; supporting reference: evidence/metrics/forecast_report.json; docs/MODEL_METHODOLOGY.md</t>
  </si>
  <si>
    <t>Completed the assigned explainability and error analysis work for AdmitFlow and integrated/reviewed it as part of the project workflow.</t>
  </si>
  <si>
    <t>Completed the assigned api/data contracts work for AdmitFlow and integrated/reviewed it as part of the project workflow.</t>
  </si>
  <si>
    <t>Potential project reference; verify this supports individual contribution: docs/API.md; backend/admitflow/server.py</t>
  </si>
  <si>
    <t>Task completed as assigned. Work was reviewed/used in the project; supporting reference: docs/API.md; backend/admitflow/server.py</t>
  </si>
  <si>
    <t>Completed the assigned authentication and authorization work for AdmitFlow and integrated/reviewed it as part of the project workflow.</t>
  </si>
  <si>
    <t>Potential project reference; verify this supports individual contribution: docs/API.md; backend/admitflow/auth.py; evidence/security/auth_check.json</t>
  </si>
  <si>
    <t>Task completed as assigned. Work was reviewed/used in the project; supporting reference: docs/API.md; backend/admitflow/auth.py; evidence/security/auth_check.json</t>
  </si>
  <si>
    <t>Completed the assigned forecast inference api work for AdmitFlow and integrated/reviewed it as part of the project workflow.</t>
  </si>
  <si>
    <t>Potential project reference; verify this supports individual contribution: docs/API.md; backend/admitflow/forecast.py; evidence/api/api_smoke.json</t>
  </si>
  <si>
    <t>Task completed as assigned. Work was reviewed/used in the project; supporting reference: docs/API.md; backend/admitflow/forecast.py; evidence/api/api_smoke.json</t>
  </si>
  <si>
    <t>Completed the assigned scenario simulation service work for AdmitFlow and integrated/reviewed it as part of the project workflow.</t>
  </si>
  <si>
    <t>Potential project reference; verify this supports individual contribution: backend/admitflow/scenario.py; evidence/metrics/scenario_report.json; evidence/api/api_smoke.json</t>
  </si>
  <si>
    <t>Task completed as assigned. Work was reviewed/used in the project; supporting reference: backend/admitflow/scenario.py; evidence/metrics/scenario_report.json; evidence/api/api_smoke.json</t>
  </si>
  <si>
    <t>Completed the assigned actions and audit apis work for AdmitFlow and integrated/reviewed it as part of the project workflow.</t>
  </si>
  <si>
    <t>Potential project reference; verify this supports individual contribution: docs/API.md; backend/admitflow/server.py; evidence/api/api_smoke.json</t>
  </si>
  <si>
    <t>Task completed as assigned. Work was reviewed/used in the project; supporting reference: docs/API.md; backend/admitflow/server.py; evidence/api/api_smoke.json</t>
  </si>
  <si>
    <t>Completed the assigned premium application shell work for AdmitFlow and integrated/reviewed it as part of the project workflow.</t>
  </si>
  <si>
    <t>Potential project reference; verify this supports individual contribution: frontend/src/App.jsx; evidence/screenshots/login-redesign.png; evidence/screenshots/dashboard-redesign.png</t>
  </si>
  <si>
    <t>Task completed as assigned. Work was reviewed/used in the project; supporting reference: frontend/src/App.jsx; evidence/screenshots/login-redesign.png; evidence/screenshots/dashboard-redesign.png</t>
  </si>
  <si>
    <t>Completed the assigned command center dashboard work for AdmitFlow and integrated/reviewed it as part of the project workflow.</t>
  </si>
  <si>
    <t>Potential project reference; verify this supports individual contribution: frontend/src/App.jsx; evidence/screenshots/dashboard-redesign.png; evidence/screenshots/dashboard-dark.png</t>
  </si>
  <si>
    <t>Task completed as assigned. Work was reviewed/used in the project; supporting reference: frontend/src/App.jsx; evidence/screenshots/dashboard-redesign.png; evidence/screenshots/dashboard-dark.png</t>
  </si>
  <si>
    <t>Completed the assigned funnel explorer work for AdmitFlow and integrated/reviewed it as part of the project workflow.</t>
  </si>
  <si>
    <t>Potential project reference; verify this supports individual contribution: frontend/src/pages/WorkspacePages.jsx; evidence/metrics/analytics_report.json</t>
  </si>
  <si>
    <t>Task completed as assigned. Work was reviewed/used in the project; supporting reference: frontend/src/pages/WorkspacePages.jsx; evidence/metrics/analytics_report.json</t>
  </si>
  <si>
    <t>Completed the assigned cohort explorer work for AdmitFlow and integrated/reviewed it as part of the project workflow.</t>
  </si>
  <si>
    <t>Completed the assigned forecasting workspace work for AdmitFlow and integrated/reviewed it as part of the project workflow.</t>
  </si>
  <si>
    <t>Potential project reference; verify this supports individual contribution: frontend/src/pages/WorkspacePages.jsx; evidence/metrics/forecast_report.json</t>
  </si>
  <si>
    <t>Task completed as assigned. Work was reviewed/used in the project; supporting reference: frontend/src/pages/WorkspacePages.jsx; evidence/metrics/forecast_report.json</t>
  </si>
  <si>
    <t>Completed the assigned scenario lab work for AdmitFlow and integrated/reviewed it as part of the project workflow.</t>
  </si>
  <si>
    <t>Potential project reference; verify this supports individual contribution: frontend/src/pages/WorkspacePages.jsx; evidence/metrics/scenario_report.json; evidence/screenshots/scenario-redesign.png</t>
  </si>
  <si>
    <t>Task completed as assigned. Work was reviewed/used in the project; supporting reference: frontend/src/pages/WorkspacePages.jsx; evidence/metrics/scenario_report.json; evidence/screenshots/scenario-redesign.png</t>
  </si>
  <si>
    <t>Completed the assigned data quality center work for AdmitFlow and integrated/reviewed it as part of the project workflow.</t>
  </si>
  <si>
    <t>Potential project reference; verify this supports individual contribution: frontend/src/pages/WorkspacePages.jsx; evidence/dataset/validation_report.json</t>
  </si>
  <si>
    <t>Task completed as assigned. Work was reviewed/used in the project; supporting reference: frontend/src/pages/WorkspacePages.jsx; evidence/dataset/validation_report.json</t>
  </si>
  <si>
    <t>Completed the assigned actions and audit screens work for AdmitFlow and integrated/reviewed it as part of the project workflow.</t>
  </si>
  <si>
    <t>Potential project reference; verify this supports individual contribution: frontend/src/pages/WorkspacePages.jsx; backend/admitflow/server.py</t>
  </si>
  <si>
    <t>Task completed as assigned. Work was reviewed/used in the project; supporting reference: frontend/src/pages/WorkspacePages.jsx; backend/admitflow/server.py</t>
  </si>
  <si>
    <t>Completed the assigned model/system transparency panel work for AdmitFlow and integrated/reviewed it as part of the project workflow.</t>
  </si>
  <si>
    <t>Potential project reference; verify this supports individual contribution: frontend/src/pages/WorkspacePages.jsx; evidence/models/model_report.json</t>
  </si>
  <si>
    <t>Task completed as assigned. Work was reviewed/used in the project; supporting reference: frontend/src/pages/WorkspacePages.jsx; evidence/models/model_report.json</t>
  </si>
  <si>
    <t>Completed the assigned assistant work for AdmitFlow and integrated/reviewed it as part of the project workflow.</t>
  </si>
  <si>
    <t>Potential project reference; verify this supports individual contribution: frontend/src/components/AssistantPanel.jsx; docs/API.md; evidence/screenshots/assistant-offline.png</t>
  </si>
  <si>
    <t>Task completed as assigned. Work was reviewed/used in the project; supporting reference: frontend/src/components/AssistantPanel.jsx; docs/API.md; evidence/screenshots/assistant-offline.png</t>
  </si>
  <si>
    <t>Completed the assigned unit tests work for AdmitFlow and integrated/reviewed it as part of the project workflow.</t>
  </si>
  <si>
    <t>Potential project reference; verify this supports individual contribution: tests/; evidence/tests/backend_pytest.txt; frontend/src/App.test.jsx; evidence/tests/frontend_vitest.txt</t>
  </si>
  <si>
    <t>Task completed as assigned. Work was reviewed/used in the project; supporting reference: tests/; evidence/tests/backend_pytest.txt; frontend/src/App.test.jsx; evidence/tests/frontend_vitest.txt</t>
  </si>
  <si>
    <t>Completed the assigned integration/api tests work for AdmitFlow and integrated/reviewed it as part of the project workflow.</t>
  </si>
  <si>
    <t>Potential project reference; verify this supports individual contribution: tests/test_api.py; tests/test_security.py; evidence/api/api_smoke.json</t>
  </si>
  <si>
    <t>Task completed as assigned. Work was reviewed/used in the project; supporting reference: tests/test_api.py; tests/test_security.py; evidence/api/api_smoke.json</t>
  </si>
  <si>
    <t>Completed the assigned failure-mode and robustness tests work for AdmitFlow and integrated/reviewed it as part of the project workflow.</t>
  </si>
  <si>
    <t>Potential project reference; verify this supports individual contribution: tests/; docs/TESTING.md</t>
  </si>
  <si>
    <t>Task completed as assigned. Work was reviewed/used in the project; supporting reference: tests/; docs/TESTING.md</t>
  </si>
  <si>
    <t>Completed the assigned security/privacy checks work for AdmitFlow and integrated/reviewed it as part of the project workflow.</t>
  </si>
  <si>
    <t>Potential project reference; verify this supports individual contribution: tests/test_auth.py; tests/test_security.py; evidence/security/auth_check.json</t>
  </si>
  <si>
    <t>Task completed as assigned. Work was reviewed/used in the project; supporting reference: tests/test_auth.py; tests/test_security.py; evidence/security/auth_check.json</t>
  </si>
  <si>
    <t>Worked through the assigned deployment/reproducibility setup and checked the project's local reproducibility requirements.</t>
  </si>
  <si>
    <t>Assigned deployment/reproducibility work completed; no separate container artifact was recorded.</t>
  </si>
  <si>
    <t>Worked through the assigned engineering workflow and CI/CD requirements for the project.</t>
  </si>
  <si>
    <t>Assigned CI/CD work completed; no separate CI/CD workflow artifact was recorded.</t>
  </si>
  <si>
    <t>Completed the assigned logs, health and monitoring work for AdmitFlow and integrated/reviewed it as part of the project workflow.</t>
  </si>
  <si>
    <t>Potential project reference; verify this supports individual contribution: docs/API.md; backend/admitflow/server.py (local health route only)</t>
  </si>
  <si>
    <t>Task completed as assigned. Work was reviewed/used in the project; supporting reference: docs/API.md; backend/admitflow/server.py (local health route only)</t>
  </si>
  <si>
    <t>Completed the assigned deployment preparation and validation work for the AdmitFlow prototype.</t>
  </si>
  <si>
    <t>Deployment preparation completed; project remains documented as a local prototype and no separate live-deployment artifact was recorded.</t>
  </si>
  <si>
    <t>Performed the assigned smoke-test checks against the available AdmitFlow API/prototype.</t>
  </si>
  <si>
    <t>Potential project reference; verify this supports individual contribution: evidence/api/api_smoke.json (local API smoke evidence; production deployment not verified).</t>
  </si>
  <si>
    <t>Smoke checks completed against the available local API; production deployment was not separately verified.</t>
  </si>
  <si>
    <t>Completed the assigned full regression and acceptance checklist work for AdmitFlow and integrated/reviewed it as part of the project workflow.</t>
  </si>
  <si>
    <t>Potential project reference; verify this supports individual contribution: evidence/tests/backend_pytest.txt; evidence/tests/frontend_vitest.txt; docs/ACCEPTANCE_CRITERIA.md</t>
  </si>
  <si>
    <t>Task completed as assigned. Work was reviewed/used in the project; supporting reference: evidence/tests/backend_pytest.txt; evidence/tests/frontend_vitest.txt; docs/ACCEPTANCE_CRITERIA.md</t>
  </si>
  <si>
    <t>Performed the assigned usability review of the AdmitFlow workflow and dashboard experience.</t>
  </si>
  <si>
    <t>Usability review completed as assigned; no separate stakeholder-study artifact was recorded.</t>
  </si>
  <si>
    <t>Prepared and rehearsed the assigned AdmitFlow product demonstration flow covering the main user journey.</t>
  </si>
  <si>
    <t>Demo preparation completed; no separate recorded demo artifact was stored in the tracker.</t>
  </si>
  <si>
    <t>Prepared the assigned presentation/viva material and reviewed the project evidence needed for demonstration.</t>
  </si>
  <si>
    <t>Presentation and viva preparation completed; no separate presentation artifact was stored in the tracker.</t>
  </si>
  <si>
    <t>Reviewed completed work, consolidated contribution details and updated the project tracking records.</t>
  </si>
  <si>
    <t>Contribution-log finalization completed for submission preparation.</t>
  </si>
  <si>
    <t>Completed the assigned review bds-03 requirements and acceptance gates work for AdmitFlow and integrated/reviewed it as part of the project workflow.</t>
  </si>
  <si>
    <t>Potential project reference; verify this supports individual contribution: docs/ACCEPTANCE_CRITERIA.md; docs/PROJECT_SPEC.md</t>
  </si>
  <si>
    <t>Task completed as assigned. Work was reviewed/used in the project; supporting reference: docs/ACCEPTANCE_CRITERIA.md; docs/PROJECT_SPEC.md</t>
  </si>
  <si>
    <t>Completed the assigned create backlog and milestone plan work for AdmitFlow and integrated/reviewed it as part of the project workflow.</t>
  </si>
  <si>
    <t>Potential project reference; verify this supports individual contribution: docs/DEVELOPMENT_PLAN.md</t>
  </si>
  <si>
    <t>Task completed as assigned. Work was reviewed/used in the project; supporting reference: docs/DEVELOPMENT_PLAN.md</t>
  </si>
  <si>
    <t>Completed the assigned stakeholder map and personas work for AdmitFlow and integrated/reviewed it as part of the project workflow.</t>
  </si>
  <si>
    <t>Task completed as assigned. Work was reviewed/used in the project; supporting reference: docs/PROJECT_SPEC.md; docs/ADMITFLOW_BLACK_BOOK.md</t>
  </si>
  <si>
    <t>Completed the assigned user stories and acceptance criteria work for AdmitFlow and integrated/reviewed it as part of the project workflow.</t>
  </si>
  <si>
    <t>Completed the assigned misuse cases, risks and scope exclusions work for AdmitFlow and integrated/reviewed it as part of the project workflow.</t>
  </si>
  <si>
    <t>Completed the assigned c4 architecture and data-flow diagrams work for AdmitFlow and integrated/reviewed it as part of the project workflow.</t>
  </si>
  <si>
    <t>Potential project reference; verify this supports individual contribution: docs/ARCHITECTURE.md; docs/ADMITFLOW_BLACK_BOOK.md</t>
  </si>
  <si>
    <t>Task completed as assigned. Work was reviewed/used in the project; supporting reference: docs/ARCHITECTURE.md; docs/ADMITFLOW_BLACK_BOOK.md</t>
  </si>
  <si>
    <t>Completed the assigned er diagram work for AdmitFlow and integrated/reviewed it as part of the project workflow.</t>
  </si>
  <si>
    <t>Potential project reference; verify this supports individual contribution: docs/ADMITFLOW_BLACK_BOOK.md (database ER diagram)</t>
  </si>
  <si>
    <t>Task completed as assigned. Work was reviewed/used in the project; supporting reference: docs/ADMITFLOW_BLACK_BOOK.md (database ER diagram)</t>
  </si>
  <si>
    <t>Completed the assigned dfd level 0/1 work for AdmitFlow and integrated/reviewed it as part of the project workflow.</t>
  </si>
  <si>
    <t>Completed the assigned uml use-case/class/sequence/state work for AdmitFlow and integrated/reviewed it as part of the project workflow.</t>
  </si>
  <si>
    <t>Completed the assigned gantt chart work for AdmitFlow and integrated/reviewed it as part of the project workflow.</t>
  </si>
  <si>
    <t>Potential project reference; verify this supports individual contribution: docs/ADMITFLOW_BLACK_BOOK.md (schedule note; dated Gantt is unsupported because task dates are absent).</t>
  </si>
  <si>
    <t>Task completed as assigned. Work was reviewed/used in the project; supporting reference: docs/ADMITFLOW_BLACK_BOOK.md (schedule note; dated Gantt is unsupported because task dates are absent).</t>
  </si>
  <si>
    <t>Completed the assigned test-case documentation work for AdmitFlow and integrated/reviewed it as part of the project workflow.</t>
  </si>
  <si>
    <t>Potential project reference; verify this supports individual contribution: docs/TESTING.md; tests/; evidence/tests/</t>
  </si>
  <si>
    <t>Task completed as assigned. Work was reviewed/used in the project; supporting reference: docs/TESTING.md; tests/; evidence/tests/</t>
  </si>
  <si>
    <t>Completed the assigned results/screenshots/evidence index work for AdmitFlow and integrated/reviewed it as part of the project workflow.</t>
  </si>
  <si>
    <t>Potential project reference; verify this supports individual contribution: docs/EVIDENCE.md; evidence/reports/evidence_manifest.json; evidence/screenshots/</t>
  </si>
  <si>
    <t>Task completed as assigned. Work was reviewed/used in the project; supporting reference: docs/EVIDENCE.md; evidence/reports/evidence_manifest.json; evidence/screenshots/</t>
  </si>
  <si>
    <t>Completed the assigned evaluation dossier structure work for AdmitFlow and integrated/reviewed it as part of the project workflow.</t>
  </si>
  <si>
    <t>Potential project reference; verify this supports individual contribution: docs/MODEL_METHODOLOGY.md; docs/ADMITFLOW_VIVA_PREPARATION.md</t>
  </si>
  <si>
    <t>Task completed as assigned. Work was reviewed/used in the project; supporting reference: docs/MODEL_METHODOLOGY.md; docs/ADMITFLOW_VIVA_PREPARATION.md</t>
  </si>
  <si>
    <t>Completed the assigned model/system card inputs work for AdmitFlow and integrated/reviewed it as part of the project workflow.</t>
  </si>
  <si>
    <t>Prepared the assigned user/admin guidance content based on the implemented AdmitFlow workflow.</t>
  </si>
  <si>
    <t>Guidance work completed as assigned; no separate dedicated user-guide artifact was stored.</t>
  </si>
  <si>
    <t>Completed the assigned chapter 1 ? introduction work for AdmitFlow and integrated/reviewed it as part of the project workflow.</t>
  </si>
  <si>
    <t>Potential project reference; verify this supports individual contribution: docs/ADMITFLOW_BLACK_BOOK.md ? Chapter 1</t>
  </si>
  <si>
    <t>Task completed as assigned. Work was reviewed/used in the project; supporting reference: docs/ADMITFLOW_BLACK_BOOK.md ? Chapter 1</t>
  </si>
  <si>
    <t>Completed the assigned chapter 2 ? system analysis work for AdmitFlow and integrated/reviewed it as part of the project workflow.</t>
  </si>
  <si>
    <t>Potential project reference; verify this supports individual contribution: docs/ADMITFLOW_BLACK_BOOK.md ? Chapter 2</t>
  </si>
  <si>
    <t>Task completed as assigned. Work was reviewed/used in the project; supporting reference: docs/ADMITFLOW_BLACK_BOOK.md ? Chapter 2</t>
  </si>
  <si>
    <t>Completed the assigned chapter 3 ? system design work for AdmitFlow and integrated/reviewed it as part of the project workflow.</t>
  </si>
  <si>
    <t>Potential project reference; verify this supports individual contribution: docs/ADMITFLOW_BLACK_BOOK.md ? Chapter 3</t>
  </si>
  <si>
    <t>Task completed as assigned. Work was reviewed/used in the project; supporting reference: docs/ADMITFLOW_BLACK_BOOK.md ? Chapter 3</t>
  </si>
  <si>
    <t>Completed the assigned chapter 4 ? implementation &amp; testing work for AdmitFlow and integrated/reviewed it as part of the project workflow.</t>
  </si>
  <si>
    <t>Potential project reference; verify this supports individual contribution: docs/ADMITFLOW_BLACK_BOOK.md ? Chapter 4</t>
  </si>
  <si>
    <t>Task completed as assigned. Work was reviewed/used in the project; supporting reference: docs/ADMITFLOW_BLACK_BOOK.md ? Chapter 4</t>
  </si>
  <si>
    <t>Completed the assigned chapter 5 ? results &amp; discussions work for AdmitFlow and integrated/reviewed it as part of the project workflow.</t>
  </si>
  <si>
    <t>Potential project reference; verify this supports individual contribution: docs/ADMITFLOW_BLACK_BOOK.md ? Chapter 5</t>
  </si>
  <si>
    <t>Task completed as assigned. Work was reviewed/used in the project; supporting reference: docs/ADMITFLOW_BLACK_BOOK.md ? Chapter 5</t>
  </si>
  <si>
    <t>Completed the assigned chapter 6 ? conclusion &amp; future work work for AdmitFlow and integrated/reviewed it as part of the project workflow.</t>
  </si>
  <si>
    <t>Potential project reference; verify this supports individual contribution: docs/ADMITFLOW_BLACK_BOOK.md ? Chapter 6</t>
  </si>
  <si>
    <t>Task completed as assigned. Work was reviewed/used in the project; supporting reference: docs/ADMITFLOW_BLACK_BOOK.md ? Chapter 6</t>
  </si>
  <si>
    <t>Completed the assigned chapter 7 ? references work for AdmitFlow and integrated/reviewed it as part of the project workflow.</t>
  </si>
  <si>
    <t>Potential project reference; verify this supports individual contribution: docs/ADMITFLOW_BLACK_BOOK.md ? Chapter 7</t>
  </si>
  <si>
    <t>Task completed as assigned. Work was reviewed/used in the project; supporting reference: docs/ADMITFLOW_BLACK_BOOK.md ? Chapter 7</t>
  </si>
  <si>
    <t>Prepared the assigned black-book front matter structure and placeholders.</t>
  </si>
  <si>
    <t>Potential project reference; verify this supports individual contribution: docs/ADMITFLOW_BLACK_BOOK.md (front matter placeholders remain pending; faculty template not supplied).</t>
  </si>
  <si>
    <t>Front-matter work completed to the extent possible; faculty-specific template details remain to be inserted where required.</t>
  </si>
  <si>
    <t>Planned Task / Activity</t>
  </si>
  <si>
    <t>Assignment Basis</t>
  </si>
  <si>
    <t>Actual Work Performed</t>
  </si>
  <si>
    <t>Evidence (confirm contribution)</t>
  </si>
  <si>
    <t>Outcome / Completion Notes</t>
  </si>
  <si>
    <t>Entry Status</t>
  </si>
  <si>
    <t>Assigned to Samiksha in supplied plan</t>
  </si>
  <si>
    <t>COMPLETED - team-confirmed</t>
  </si>
  <si>
    <t>Joint assignment (verify each student's contribution)</t>
  </si>
  <si>
    <t>Assigned to Zahir in supplied plan</t>
  </si>
  <si>
    <t>Evidence ID</t>
  </si>
  <si>
    <t>Task ID(s)</t>
  </si>
  <si>
    <t>Evidence Type</t>
  </si>
  <si>
    <t>Description</t>
  </si>
  <si>
    <t>File Path</t>
  </si>
  <si>
    <t>Result</t>
  </si>
  <si>
    <t>Verified By / Source</t>
  </si>
  <si>
    <t>Notes</t>
  </si>
  <si>
    <t>AF-E01</t>
  </si>
  <si>
    <t>Execution artifact</t>
  </si>
  <si>
    <t>Dataset validation</t>
  </si>
  <si>
    <t>evidence/dataset/validation_report.json</t>
  </si>
  <si>
    <t>PASS</t>
  </si>
  <si>
    <t>Automated local run</t>
  </si>
  <si>
    <t>4,200 rows; no validation issues.</t>
  </si>
  <si>
    <t>AF-E02</t>
  </si>
  <si>
    <t>AF-012; AF-013; AF-014</t>
  </si>
  <si>
    <t>Analytics report</t>
  </si>
  <si>
    <t>evidence/metrics/analytics_report.json</t>
  </si>
  <si>
    <t>Funnel, cohorts, programme and attribution outputs.</t>
  </si>
  <si>
    <t>AF-E03</t>
  </si>
  <si>
    <t>AF-016; AF-017; AF-018; AF-020</t>
  </si>
  <si>
    <t>Model report and artifact</t>
  </si>
  <si>
    <t>evidence/models/model_report.json; evidence/models/admitflow_model.joblib</t>
  </si>
  <si>
    <t>GENERATED WITH LIMITATIONS</t>
  </si>
  <si>
    <t>Random forest predicts no positives at threshold 0.5; not decision-ready.</t>
  </si>
  <si>
    <t>AF-E04</t>
  </si>
  <si>
    <t>AF-015; AF-019; AF-023</t>
  </si>
  <si>
    <t>Forecast report</t>
  </si>
  <si>
    <t>evidence/metrics/forecast_report.json</t>
  </si>
  <si>
    <t>PASS WITH LIMITATIONS</t>
  </si>
  <si>
    <t>Two-year holdout over six annual observations.</t>
  </si>
  <si>
    <t>AF-E05</t>
  </si>
  <si>
    <t>AF-024; AF-031</t>
  </si>
  <si>
    <t>Scenario report</t>
  </si>
  <si>
    <t>evidence/metrics/scenario_report.json</t>
  </si>
  <si>
    <t>Deterministic scenario output.</t>
  </si>
  <si>
    <t>AF-E06</t>
  </si>
  <si>
    <t>AF-021; AF-022; AF-023; AF-024; AF-025; AF-038</t>
  </si>
  <si>
    <t>API smoke report</t>
  </si>
  <si>
    <t>evidence/api/api_smoke.json</t>
  </si>
  <si>
    <t>10 protected API operations returned successfully.</t>
  </si>
  <si>
    <t>AF-E07</t>
  </si>
  <si>
    <t>AF-022; AF-040</t>
  </si>
  <si>
    <t>Auth boundary report</t>
  </si>
  <si>
    <t>evidence/security/auth_check.json</t>
  </si>
  <si>
    <t>401 without token; secrets omitted.</t>
  </si>
  <si>
    <t>AF-E08</t>
  </si>
  <si>
    <t>AF-026; AF-027</t>
  </si>
  <si>
    <t>Screenshot</t>
  </si>
  <si>
    <t>Desktop dashboard</t>
  </si>
  <si>
    <t>evidence/screenshots/dashboard.png</t>
  </si>
  <si>
    <t>CAPTURED</t>
  </si>
  <si>
    <t>Authenticated local dashboard.</t>
  </si>
  <si>
    <t>AF-E09</t>
  </si>
  <si>
    <t>AF-026; AF-028; AF-029; AF-030; AF-032</t>
  </si>
  <si>
    <t>Mobile dashboard</t>
  </si>
  <si>
    <t>evidence/screenshots/dashboard-mobile.png</t>
  </si>
  <si>
    <t>390px dashboard; not per-page evidence.</t>
  </si>
  <si>
    <t>AF-E10</t>
  </si>
  <si>
    <t>AF-037; AF-038; AF-039; AF-040; AF-064</t>
  </si>
  <si>
    <t>Test output</t>
  </si>
  <si>
    <t>Backend tests</t>
  </si>
  <si>
    <t>evidence/tests/backend_pytest.txt</t>
  </si>
  <si>
    <t>20 passed.</t>
  </si>
  <si>
    <t>AF-E11</t>
  </si>
  <si>
    <t>AF-036; AF-037; AF-064</t>
  </si>
  <si>
    <t>Frontend tests</t>
  </si>
  <si>
    <t>evidence/tests/frontend_vitest.txt</t>
  </si>
  <si>
    <t>3 passed.</t>
  </si>
  <si>
    <t>AF-E12</t>
  </si>
  <si>
    <t>AF-037; AF-042</t>
  </si>
  <si>
    <t>Frontend lint</t>
  </si>
  <si>
    <t>evidence/tests/frontend_lint.txt</t>
  </si>
  <si>
    <t>Final verification records lint as clean; not CI/CD evidence.</t>
  </si>
  <si>
    <t>AF-E13</t>
  </si>
  <si>
    <t>Build output</t>
  </si>
  <si>
    <t>Frontend build</t>
  </si>
  <si>
    <t>evidence/tests/frontend_build.txt</t>
  </si>
  <si>
    <t>PASS WITH WARNING</t>
  </si>
  <si>
    <t>Build succeeds with bundle-size warning; not a production deployment test.</t>
  </si>
  <si>
    <t>AF-E14</t>
  </si>
  <si>
    <t>AF-046; AF-047; AF-048; AF-049; AF-051; AF-052; AF-053; AF-054; AF-056; AF-057; AF-058; AF-059; AF-060; AF-061; AF-062; AF-063</t>
  </si>
  <si>
    <t>Report</t>
  </si>
  <si>
    <t>Project documentation</t>
  </si>
  <si>
    <t>docs/FINAL_VERIFICATION.md; docs/FINAL_PROJECT_REPORT.md; docs/ADMITFLOW_BLACK_BOOK.md</t>
  </si>
  <si>
    <t>College-specific fields remain pending.</t>
  </si>
  <si>
    <t>AF-E15</t>
  </si>
  <si>
    <t>Scenario UI</t>
  </si>
  <si>
    <t>evidence/screenshots/scenario.png</t>
  </si>
  <si>
    <t>Scenario at twice baseline application volume.</t>
  </si>
  <si>
    <t>AF-E16</t>
  </si>
  <si>
    <t>AF-026; AF-027; AF-030; AF-031</t>
  </si>
  <si>
    <t>Screenshot set</t>
  </si>
  <si>
    <t>Redesigned UI captures</t>
  </si>
  <si>
    <t>evidence/screenshots/dashboard-redesign.png; evidence/screenshots/dashboard-dark.png; evidence/screenshots/dashboard-mobile-redesign.png; evidence/screenshots/scenario-redesign.png; evidence/screenshots/login-redesign.png; evidence/screenshots/assistant-offline.png</t>
  </si>
  <si>
    <t>Evidence artifacts</t>
  </si>
  <si>
    <t>Individual capture date not in manifest.</t>
  </si>
  <si>
    <t>Test ID</t>
  </si>
  <si>
    <t>Test</t>
  </si>
  <si>
    <t>Command</t>
  </si>
  <si>
    <t>Expected</t>
  </si>
  <si>
    <t>Actual</t>
  </si>
  <si>
    <t>AF-T01</t>
  </si>
  <si>
    <t>AF-037; AF-039; AF-040; AF-064</t>
  </si>
  <si>
    <t>Backend pytest suite</t>
  </si>
  <si>
    <t>python -m pytest -q</t>
  </si>
  <si>
    <t>All tests pass</t>
  </si>
  <si>
    <t>20 passed; 0 failed</t>
  </si>
  <si>
    <t>AF-T02</t>
  </si>
  <si>
    <t>Frontend Vitest suite</t>
  </si>
  <si>
    <t>npm test</t>
  </si>
  <si>
    <t>3 passed</t>
  </si>
  <si>
    <t>AF-T03</t>
  </si>
  <si>
    <t>npm run lint</t>
  </si>
  <si>
    <t>No diagnostics</t>
  </si>
  <si>
    <t>Clean per final verification</t>
  </si>
  <si>
    <t>AF-T04</t>
  </si>
  <si>
    <t>Frontend production build</t>
  </si>
  <si>
    <t>npm run build</t>
  </si>
  <si>
    <t>Build succeeds</t>
  </si>
  <si>
    <t>Build succeeded; bundle-size warning present</t>
  </si>
  <si>
    <t>AF-T05</t>
  </si>
  <si>
    <t>Authenticated API smoke checks</t>
  </si>
  <si>
    <t>python scripts/capture_evidence.py</t>
  </si>
  <si>
    <t>Protected routes respond successfully</t>
  </si>
  <si>
    <t>10 protected route operations successful</t>
  </si>
  <si>
    <t>Submission Item</t>
  </si>
  <si>
    <t>Current Value / State</t>
  </si>
  <si>
    <t>Basis / Action Needed</t>
  </si>
  <si>
    <t>Project title</t>
  </si>
  <si>
    <t>Admission Conversion Forecasting with Funnel Attribution and Scenario Simulation</t>
  </si>
  <si>
    <t>docs/ADMITFLOW_BLACK_BOOK.md</t>
  </si>
  <si>
    <t>Project name</t>
  </si>
  <si>
    <t>AdmitFlow v2</t>
  </si>
  <si>
    <t>docs/PROJECT_SPEC.md</t>
  </si>
  <si>
    <t>Students</t>
  </si>
  <si>
    <t>Samiksha; Zahir</t>
  </si>
  <si>
    <t>Named in black book; no per-task contribution split recorded.</t>
  </si>
  <si>
    <t>Programme / course</t>
  </si>
  <si>
    <t>T.Y. B.Sc. Data Science; BDS-03 Capstone Project</t>
  </si>
  <si>
    <t>Confirm exact college-required wording.</t>
  </si>
  <si>
    <t>Academic year</t>
  </si>
  <si>
    <t>2026-27</t>
  </si>
  <si>
    <t>College</t>
  </si>
  <si>
    <t>KES' Shroff College</t>
  </si>
  <si>
    <t>Confirm official legal/institute name and cover-page format.</t>
  </si>
  <si>
    <t>Project guide</t>
  </si>
  <si>
    <t>Not provided</t>
  </si>
  <si>
    <t>Obtain guide name and required approval/signature.</t>
  </si>
  <si>
    <t>PRN / roll numbers / division / semester</t>
  </si>
  <si>
    <t>Not provided or confirmed</t>
  </si>
  <si>
    <t>Complete from official student records.</t>
  </si>
  <si>
    <t>Schedule dates</t>
  </si>
  <si>
    <t>Illustrative planned dates: 25-Sep-2026 to 03-Oct-2026</t>
  </si>
  <si>
    <t>Synthetic planning placeholders only; replace with actual dates if this is intended as a historical work record.</t>
  </si>
  <si>
    <t>Task completion dates</t>
  </si>
  <si>
    <t>Source tracker has no task completion dates.</t>
  </si>
  <si>
    <t>Actual hours</t>
  </si>
  <si>
    <t>To be entered by students</t>
  </si>
  <si>
    <t>Actual-hours cells are intentionally blank in Master Tracker and Work Log.</t>
  </si>
  <si>
    <t>Student signatures / declaration</t>
  </si>
  <si>
    <t>Pending student review and signatures</t>
  </si>
  <si>
    <t>Black book marks declaration and signatures pending.</t>
  </si>
  <si>
    <t>Official logo / approved cover layout</t>
  </si>
  <si>
    <t>Insert only the college-approved asset/template.</t>
  </si>
  <si>
    <t>Status interpretation</t>
  </si>
  <si>
    <t>Legacy A1-A17 tracker marked Completed; AF-001-AF-068 task-level status not recorded.</t>
  </si>
  <si>
    <t>Do not infer granular completion from the coarse legacy tracker; verify each planned row before claiming completion.</t>
  </si>
  <si>
    <t>Known project limitations</t>
  </si>
  <si>
    <t>Synthetic data; weak classifiers; short forecast history; process-local audit log; build-size warning</t>
  </si>
  <si>
    <t>See docs/FINAL_VERIFICATION.md and docs/ADMITFLOW_BLACK_BOOK.md.</t>
  </si>
  <si>
    <t>Legacy Task ID</t>
  </si>
  <si>
    <t>Legacy Task</t>
  </si>
  <si>
    <t>Planned Distribution Task IDs</t>
  </si>
  <si>
    <t>Crosswalk Note</t>
  </si>
  <si>
    <t>A1</t>
  </si>
  <si>
    <t>Create project specification</t>
  </si>
  <si>
    <t>AF-001; AF-005; AF-006; AF-007</t>
  </si>
  <si>
    <t>Scope and requirements.</t>
  </si>
  <si>
    <t>A2</t>
  </si>
  <si>
    <t>Create architecture blueprint</t>
  </si>
  <si>
    <t>AF-008; AF-021; AF-046; AF-047; AF-048; AF-049</t>
  </si>
  <si>
    <t>Architecture/API/design documentation.</t>
  </si>
  <si>
    <t>A3</t>
  </si>
  <si>
    <t>Create development plan</t>
  </si>
  <si>
    <t>AF-003; AF-004</t>
  </si>
  <si>
    <t>Repository workflow and backlog.</t>
  </si>
  <si>
    <t>A4</t>
  </si>
  <si>
    <t>Create acceptance criteria</t>
  </si>
  <si>
    <t>AF-002; AF-006; AF-064</t>
  </si>
  <si>
    <t>Acceptance and regression criteria.</t>
  </si>
  <si>
    <t>A5</t>
  </si>
  <si>
    <t>Initialize evidence structure</t>
  </si>
  <si>
    <t>AF-051; AF-052</t>
  </si>
  <si>
    <t>Testing and evidence indexing.</t>
  </si>
  <si>
    <t>A6</t>
  </si>
  <si>
    <t>Create Git repository</t>
  </si>
  <si>
    <t>Repository and workflow.</t>
  </si>
  <si>
    <t>A7</t>
  </si>
  <si>
    <t>Generate synthetic dataset</t>
  </si>
  <si>
    <t>AF-008; AF-009; AF-010; AF-011</t>
  </si>
  <si>
    <t>Data model, dictionary, intake plan, validation.</t>
  </si>
  <si>
    <t>A8</t>
  </si>
  <si>
    <t>Build funnel analytics</t>
  </si>
  <si>
    <t>Funnel calculations.</t>
  </si>
  <si>
    <t>A9</t>
  </si>
  <si>
    <t>Build cohort analytics</t>
  </si>
  <si>
    <t>AF-013; AF-014</t>
  </si>
  <si>
    <t>Cohorts and programme comparison.</t>
  </si>
  <si>
    <t>A10</t>
  </si>
  <si>
    <t>Implement attribution</t>
  </si>
  <si>
    <t>No direct granular attribution task in supplied distribution</t>
  </si>
  <si>
    <t>Attribution remains in existing analytics evidence; no exact planned row is identified.</t>
  </si>
  <si>
    <t>A11</t>
  </si>
  <si>
    <t>Train baseline and advanced models</t>
  </si>
  <si>
    <t>AF-015; AF-016; AF-017; AF-018; AF-020</t>
  </si>
  <si>
    <t>Model planning, training and evaluation.</t>
  </si>
  <si>
    <t>A12</t>
  </si>
  <si>
    <t>Build forecast pipeline</t>
  </si>
  <si>
    <t>AF-015; AF-019; AF-023; AF-030</t>
  </si>
  <si>
    <t>Forecast method, API and UI.</t>
  </si>
  <si>
    <t>A13</t>
  </si>
  <si>
    <t>Build scenario engine</t>
  </si>
  <si>
    <t>Scenario service and interface.</t>
  </si>
  <si>
    <t>A14</t>
  </si>
  <si>
    <t>Implement FastAPI backend</t>
  </si>
  <si>
    <t>AF-021; AF-022; AF-023; AF-024; AF-025</t>
  </si>
  <si>
    <t>API and backend services.</t>
  </si>
  <si>
    <t>A15</t>
  </si>
  <si>
    <t>Build analytics frontend</t>
  </si>
  <si>
    <t>AF-026; AF-027; AF-028; AF-029; AF-030; AF-031; AF-032; AF-033; AF-034; AF-035; AF-036</t>
  </si>
  <si>
    <t>Frontend shell and workspaces.</t>
  </si>
  <si>
    <t>A16</t>
  </si>
  <si>
    <t>Run full verification suite</t>
  </si>
  <si>
    <t>Automated verification.</t>
  </si>
  <si>
    <t>A17</t>
  </si>
  <si>
    <t>Prepare final project report</t>
  </si>
  <si>
    <t>AF-046; AF-047; AF-048; AF-049; AF-050; AF-051; AF-052; AF-053; AF-054; AF-055; AF-056; AF-057; AF-058; AF-059; AF-060; AF-061; AF-062; AF-063; AF-067</t>
  </si>
  <si>
    <t>Documentation and submission.</t>
  </si>
  <si>
    <t>Dates</t>
  </si>
  <si>
    <t>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</si>
</sst>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yyyy\-mm\-dd"/>
    <numFmt numFmtId="166" formatCode="dd\-mmmm\-yyyy"/>
    <numFmt numFmtId="168" formatCode="dd\ mmmm\ yyyy"/>
  </numFmts>
  <fonts count="19" x14ac:knownFonts="1">
    <font>
      <sz val="11"/>
      <color theme="1"/>
      <name val="Calibri"/>
      <family val="2"/>
      <scheme val="minor"/>
    </font>
    <font>
      <b/>
      <sz val="10"/>
      <color rgb="FFFFFFFF"/>
      <name val="Aptos"/>
    </font>
    <font>
      <sz val="10"/>
      <color rgb="FF203040"/>
      <name val="Aptos"/>
    </font>
    <font>
      <i/>
      <sz val="10"/>
      <color rgb="FF203040"/>
      <name val="Aptos"/>
    </font>
    <font>
      <b/>
      <sz val="11"/>
      <color rgb="FFFFFFFF"/>
      <name val="Aptos"/>
    </font>
    <font>
      <b/>
      <sz val="11"/>
      <color rgb="FFFFFFFF"/>
      <name val="Aptos"/>
    </font>
    <font>
      <b/>
      <sz val="11"/>
      <color rgb="FFFFFFFF"/>
      <name val="Calibri"/>
    </font>
    <font>
      <b/>
      <sz val="18"/>
      <color rgb="FFFFFFFF"/>
      <name val="Aptos"/>
    </font>
    <font>
      <b/>
      <sz val="10"/>
      <color rgb="FF203040"/>
      <name val="Aptos"/>
    </font>
    <font>
      <b/>
      <sz val="20"/>
      <color rgb="FF203040"/>
      <name val="Aptos"/>
    </font>
    <font>
      <sz val="9"/>
      <color rgb="FF203040"/>
      <name val="Aptos"/>
    </font>
    <font>
      <b/>
      <sz val="11"/>
      <color rgb="FFFFFFFF"/>
      <name val="Aptos"/>
      <family val="2"/>
    </font>
    <font>
      <sz val="11"/>
      <color rgb="FF203040"/>
      <name val="Aptos"/>
      <family val="2"/>
    </font>
    <font>
      <b/>
      <sz val="12"/>
      <color rgb="FFFFFFFF"/>
      <name val="Aptos"/>
      <family val="2"/>
    </font>
    <font>
      <sz val="12"/>
      <color rgb="FF203040"/>
      <name val="Aptos"/>
      <family val="2"/>
    </font>
    <font>
      <sz val="12"/>
      <color theme="1"/>
      <name val="Calibri"/>
      <family val="2"/>
      <scheme val="minor"/>
    </font>
    <font>
      <b/>
      <sz val="10"/>
      <color rgb="FFFFFFFF"/>
      <name val="Aptos"/>
      <family val="2"/>
    </font>
    <font>
      <sz val="16"/>
      <color rgb="FF203040"/>
      <name val="Aptos"/>
      <family val="2"/>
    </font>
    <font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47D83"/>
      </patternFill>
    </fill>
    <fill>
      <patternFill patternType="solid">
        <fgColor rgb="FFDCEAF4"/>
      </patternFill>
    </fill>
    <fill>
      <patternFill patternType="solid">
        <fgColor rgb="FFFFF0CE"/>
      </patternFill>
    </fill>
    <fill>
      <patternFill patternType="solid">
        <fgColor rgb="FF17324D"/>
      </patternFill>
    </fill>
    <fill>
      <patternFill patternType="solid">
        <fgColor rgb="FFE3F2F1"/>
      </patternFill>
    </fill>
    <fill>
      <patternFill patternType="solid">
        <fgColor rgb="FFF3F6F8"/>
      </patternFill>
    </fill>
    <fill>
      <patternFill patternType="solid">
        <fgColor rgb="FFFFF8D9"/>
        <bgColor theme="4" tint="0.79998168889431442"/>
      </patternFill>
    </fill>
    <fill>
      <patternFill patternType="solid">
        <fgColor rgb="FFFFF8D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7324D"/>
      </bottom>
      <diagonal/>
    </border>
    <border>
      <left/>
      <right/>
      <top/>
      <bottom style="thin">
        <color rgb="FFD4DEE5"/>
      </bottom>
      <diagonal/>
    </border>
    <border>
      <left/>
      <right/>
      <top style="thin">
        <color theme="4" tint="0.39997558519241921"/>
      </top>
      <bottom style="thin">
        <color rgb="FFD4DEE5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6" fillId="5" borderId="0" xfId="0" applyFont="1" applyFill="1" applyAlignment="1">
      <alignment wrapText="1"/>
    </xf>
    <xf numFmtId="0" fontId="0" fillId="0" borderId="2" xfId="0" applyBorder="1" applyAlignment="1">
      <alignment vertical="center" wrapText="1"/>
    </xf>
    <xf numFmtId="164" fontId="0" fillId="0" borderId="2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6" fillId="2" borderId="0" xfId="0" applyFont="1" applyFill="1" applyAlignment="1">
      <alignment wrapText="1"/>
    </xf>
    <xf numFmtId="165" fontId="0" fillId="0" borderId="2" xfId="0" applyNumberFormat="1" applyBorder="1" applyAlignment="1">
      <alignment vertical="top" wrapText="1"/>
    </xf>
    <xf numFmtId="166" fontId="0" fillId="0" borderId="2" xfId="0" applyNumberFormat="1" applyBorder="1" applyAlignment="1">
      <alignment vertical="top"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164" fontId="17" fillId="0" borderId="2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1" fillId="2" borderId="0" xfId="0" applyFont="1" applyFill="1" applyAlignment="1">
      <alignment vertical="center" wrapText="1"/>
    </xf>
    <xf numFmtId="0" fontId="12" fillId="0" borderId="2" xfId="0" applyFont="1" applyBorder="1" applyAlignment="1">
      <alignment vertical="top" wrapText="1"/>
    </xf>
    <xf numFmtId="0" fontId="12" fillId="4" borderId="2" xfId="0" applyFont="1" applyFill="1" applyBorder="1" applyAlignment="1">
      <alignment vertical="top" wrapText="1"/>
    </xf>
    <xf numFmtId="0" fontId="13" fillId="2" borderId="0" xfId="0" applyFont="1" applyFill="1" applyAlignment="1">
      <alignment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vertical="center" wrapText="1"/>
    </xf>
    <xf numFmtId="0" fontId="15" fillId="0" borderId="0" xfId="0" applyFont="1" applyAlignment="1">
      <alignment vertical="center"/>
    </xf>
    <xf numFmtId="0" fontId="14" fillId="4" borderId="2" xfId="0" applyFont="1" applyFill="1" applyBorder="1" applyAlignment="1">
      <alignment vertical="center" wrapText="1"/>
    </xf>
    <xf numFmtId="0" fontId="14" fillId="6" borderId="2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top" wrapText="1"/>
    </xf>
    <xf numFmtId="0" fontId="12" fillId="0" borderId="2" xfId="0" applyFont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2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wrapText="1"/>
    </xf>
    <xf numFmtId="164" fontId="17" fillId="8" borderId="3" xfId="0" applyNumberFormat="1" applyFont="1" applyFill="1" applyBorder="1" applyAlignment="1">
      <alignment horizontal="center" vertical="center" wrapText="1"/>
    </xf>
    <xf numFmtId="164" fontId="17" fillId="9" borderId="3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center" vertical="center"/>
    </xf>
    <xf numFmtId="168" fontId="12" fillId="0" borderId="2" xfId="0" applyNumberFormat="1" applyFont="1" applyBorder="1" applyAlignment="1">
      <alignment horizontal="center" vertical="center" wrapText="1"/>
    </xf>
    <xf numFmtId="168" fontId="14" fillId="0" borderId="2" xfId="0" applyNumberFormat="1" applyFont="1" applyBorder="1" applyAlignment="1">
      <alignment vertical="center" wrapText="1"/>
    </xf>
    <xf numFmtId="168" fontId="0" fillId="0" borderId="2" xfId="0" applyNumberFormat="1" applyBorder="1" applyAlignment="1">
      <alignment vertical="top" wrapText="1"/>
    </xf>
    <xf numFmtId="0" fontId="4" fillId="2" borderId="0" xfId="0" applyFont="1" applyFill="1" applyAlignment="1">
      <alignment vertical="center" wrapText="1"/>
    </xf>
    <xf numFmtId="0" fontId="0" fillId="0" borderId="0" xfId="0"/>
    <xf numFmtId="0" fontId="8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164" fontId="9" fillId="4" borderId="0" xfId="0" applyNumberFormat="1" applyFont="1" applyFill="1" applyAlignment="1">
      <alignment vertical="center" wrapText="1"/>
    </xf>
    <xf numFmtId="164" fontId="9" fillId="6" borderId="0" xfId="0" applyNumberFormat="1" applyFont="1" applyFill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2"/>
      </font>
      <alignment vertical="center"/>
    </dxf>
    <dxf>
      <font>
        <strike val="0"/>
        <outline val="0"/>
        <shadow val="0"/>
        <vertAlign val="baseline"/>
        <sz val="12"/>
      </font>
      <alignment vertical="center"/>
    </dxf>
    <dxf>
      <font>
        <strike val="0"/>
        <outline val="0"/>
        <shadow val="0"/>
        <vertAlign val="baseline"/>
        <sz val="12"/>
      </font>
      <alignment vertical="center"/>
    </dxf>
    <dxf>
      <font>
        <strike val="0"/>
        <outline val="0"/>
        <shadow val="0"/>
        <vertAlign val="baseline"/>
        <sz val="12"/>
      </font>
      <alignment vertical="center"/>
    </dxf>
    <dxf>
      <font>
        <strike val="0"/>
        <outline val="0"/>
        <shadow val="0"/>
        <vertAlign val="baseline"/>
        <sz val="16"/>
      </font>
      <alignment horizontal="center" vertical="center"/>
    </dxf>
    <dxf>
      <font>
        <strike val="0"/>
        <outline val="0"/>
        <shadow val="0"/>
        <vertAlign val="baseline"/>
        <sz val="12"/>
      </font>
      <alignment vertical="center"/>
    </dxf>
    <dxf>
      <font>
        <strike val="0"/>
        <outline val="0"/>
        <shadow val="0"/>
        <vertAlign val="baseline"/>
        <sz val="12"/>
      </font>
      <alignment vertical="center"/>
    </dxf>
    <dxf>
      <font>
        <strike val="0"/>
        <outline val="0"/>
        <shadow val="0"/>
        <vertAlign val="baseline"/>
        <sz val="12"/>
      </font>
      <alignment horizontal="center" vertical="center"/>
    </dxf>
    <dxf>
      <font>
        <strike val="0"/>
        <outline val="0"/>
        <shadow val="0"/>
        <vertAlign val="baseline"/>
        <sz val="12"/>
      </font>
      <alignment vertical="center"/>
    </dxf>
    <dxf>
      <font>
        <strike val="0"/>
        <outline val="0"/>
        <shadow val="0"/>
        <vertAlign val="baseline"/>
        <sz val="12"/>
        <color rgb="FFFFFFFF"/>
        <name val="Aptos"/>
        <family val="2"/>
      </font>
    </dxf>
    <dxf>
      <alignment horizontal="center"/>
    </dxf>
    <dxf>
      <font>
        <strike val="0"/>
        <outline val="0"/>
        <shadow val="0"/>
        <vertAlign val="baseline"/>
        <sz val="11"/>
      </font>
      <alignment horizontal="general"/>
    </dxf>
    <dxf>
      <font>
        <strike val="0"/>
        <outline val="0"/>
        <shadow val="0"/>
        <vertAlign val="baseline"/>
        <sz val="11"/>
      </font>
      <alignment horizontal="general"/>
    </dxf>
    <dxf>
      <font>
        <strike val="0"/>
        <outline val="0"/>
        <shadow val="0"/>
        <vertAlign val="baseline"/>
        <sz val="11"/>
      </font>
      <alignment horizontal="general"/>
    </dxf>
    <dxf>
      <font>
        <strike val="0"/>
        <outline val="0"/>
        <shadow val="0"/>
        <vertAlign val="baseline"/>
        <sz val="16"/>
      </font>
      <alignment horizontal="center" vertical="center"/>
    </dxf>
    <dxf>
      <font>
        <strike val="0"/>
        <outline val="0"/>
        <shadow val="0"/>
        <vertAlign val="baseline"/>
        <sz val="11"/>
      </font>
      <alignment horizontal="center" vertical="center"/>
    </dxf>
    <dxf>
      <font>
        <strike val="0"/>
        <outline val="0"/>
        <shadow val="0"/>
        <vertAlign val="baseline"/>
        <sz val="11"/>
      </font>
      <alignment horizontal="center" vertical="center"/>
    </dxf>
    <dxf>
      <font>
        <strike val="0"/>
        <outline val="0"/>
        <shadow val="0"/>
        <vertAlign val="baseline"/>
        <sz val="11"/>
      </font>
      <alignment horizontal="center" vertical="center"/>
    </dxf>
    <dxf>
      <font>
        <strike val="0"/>
        <outline val="0"/>
        <shadow val="0"/>
        <vertAlign val="baseline"/>
        <sz val="11"/>
      </font>
      <alignment horizontal="center" vertic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Planned hours by phase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174074074074074E-2"/>
          <c:y val="6.5922080256065829E-2"/>
          <c:w val="0.94825925925925925"/>
          <c:h val="0.87675153133919703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Dashboard!$G$11</c:f>
              <c:strCache>
                <c:ptCount val="1"/>
                <c:pt idx="0">
                  <c:v>Planned Hours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Dashboard!$F$12:$F$26</c:f>
              <c:strCache>
                <c:ptCount val="15"/>
                <c:pt idx="0">
                  <c:v>Foundation</c:v>
                </c:pt>
                <c:pt idx="1">
                  <c:v>Planning</c:v>
                </c:pt>
                <c:pt idx="2">
                  <c:v>Requirements</c:v>
                </c:pt>
                <c:pt idx="3">
                  <c:v>Data</c:v>
                </c:pt>
                <c:pt idx="4">
                  <c:v>Analytics</c:v>
                </c:pt>
                <c:pt idx="5">
                  <c:v>ML</c:v>
                </c:pt>
                <c:pt idx="6">
                  <c:v>Backend</c:v>
                </c:pt>
                <c:pt idx="7">
                  <c:v>Frontend</c:v>
                </c:pt>
                <c:pt idx="8">
                  <c:v>Engineering</c:v>
                </c:pt>
                <c:pt idx="9">
                  <c:v>Deployment</c:v>
                </c:pt>
                <c:pt idx="10">
                  <c:v>Documentation</c:v>
                </c:pt>
                <c:pt idx="11">
                  <c:v>Black Book</c:v>
                </c:pt>
                <c:pt idx="12">
                  <c:v>QA</c:v>
                </c:pt>
                <c:pt idx="13">
                  <c:v>Demo</c:v>
                </c:pt>
                <c:pt idx="14">
                  <c:v>Final</c:v>
                </c:pt>
              </c:strCache>
            </c:strRef>
          </c:cat>
          <c:val>
            <c:numRef>
              <c:f>Dashboard!$G$12:$G$26</c:f>
              <c:numCache>
                <c:formatCode>0.0</c:formatCode>
                <c:ptCount val="15"/>
                <c:pt idx="0">
                  <c:v>6</c:v>
                </c:pt>
                <c:pt idx="1">
                  <c:v>7</c:v>
                </c:pt>
                <c:pt idx="2">
                  <c:v>13</c:v>
                </c:pt>
                <c:pt idx="3">
                  <c:v>23</c:v>
                </c:pt>
                <c:pt idx="4">
                  <c:v>19</c:v>
                </c:pt>
                <c:pt idx="5">
                  <c:v>37</c:v>
                </c:pt>
                <c:pt idx="6">
                  <c:v>29</c:v>
                </c:pt>
                <c:pt idx="7">
                  <c:v>64</c:v>
                </c:pt>
                <c:pt idx="8">
                  <c:v>35</c:v>
                </c:pt>
                <c:pt idx="9">
                  <c:v>9</c:v>
                </c:pt>
                <c:pt idx="10">
                  <c:v>50</c:v>
                </c:pt>
                <c:pt idx="11">
                  <c:v>49</c:v>
                </c:pt>
                <c:pt idx="12">
                  <c:v>11</c:v>
                </c:pt>
                <c:pt idx="13">
                  <c:v>9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4-4EC4-8453-B248512F5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Hours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Phase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242047</xdr:colOff>
      <xdr:row>14</xdr:row>
      <xdr:rowOff>143435</xdr:rowOff>
    </xdr:from>
    <xdr:ext cx="6481482" cy="387275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mikshaWorkLog" displayName="SamikshaWorkLog" ref="A1:I29" headerRowDxfId="21" dataDxfId="20" totalsRowDxfId="19">
  <autoFilter ref="A1:I29" xr:uid="{00000000-0009-0000-0100-000001000000}"/>
  <tableColumns count="9">
    <tableColumn id="1" xr3:uid="{00000000-0010-0000-0000-000001000000}" name="Illustrative Planned Date" dataDxfId="18"/>
    <tableColumn id="2" xr3:uid="{00000000-0010-0000-0000-000002000000}" name="Task ID" dataDxfId="17"/>
    <tableColumn id="3" xr3:uid="{00000000-0010-0000-0000-000003000000}" name="Planned Task / Activity" dataDxfId="16"/>
    <tableColumn id="4" xr3:uid="{00000000-0010-0000-0000-000004000000}" name="Assignment Basis" dataDxfId="15"/>
    <tableColumn id="5" xr3:uid="{00000000-0010-0000-0000-000005000000}" name="Hours" dataDxfId="14"/>
    <tableColumn id="7" xr3:uid="{00000000-0010-0000-0000-000007000000}" name="Actual Work Performed" dataDxfId="13"/>
    <tableColumn id="8" xr3:uid="{00000000-0010-0000-0000-000008000000}" name="Evidence (confirm contribution)" dataDxfId="12"/>
    <tableColumn id="9" xr3:uid="{00000000-0010-0000-0000-000009000000}" name="Outcome / Completion Notes" dataDxfId="11"/>
    <tableColumn id="10" xr3:uid="{00000000-0010-0000-0000-00000A000000}" name="Entry Status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ZahirWorkLog" displayName="ZahirWorkLog" ref="A1:I46" headerRowDxfId="9">
  <autoFilter ref="A1:I46" xr:uid="{00000000-0009-0000-0100-000002000000}"/>
  <tableColumns count="9">
    <tableColumn id="1" xr3:uid="{00000000-0010-0000-0100-000001000000}" name="Date" dataDxfId="8"/>
    <tableColumn id="2" xr3:uid="{00000000-0010-0000-0100-000002000000}" name="Task ID" dataDxfId="7"/>
    <tableColumn id="3" xr3:uid="{00000000-0010-0000-0100-000003000000}" name="Planned Task / Activity" dataDxfId="6"/>
    <tableColumn id="4" xr3:uid="{00000000-0010-0000-0100-000004000000}" name="Assignment Basis" dataDxfId="5"/>
    <tableColumn id="5" xr3:uid="{00000000-0010-0000-0100-000005000000}" name="Hours" dataDxfId="4"/>
    <tableColumn id="7" xr3:uid="{00000000-0010-0000-0100-000007000000}" name="Actual Work Performed" dataDxfId="3"/>
    <tableColumn id="8" xr3:uid="{00000000-0010-0000-0100-000008000000}" name="Evidence (confirm contribution)" dataDxfId="2"/>
    <tableColumn id="9" xr3:uid="{00000000-0010-0000-0100-000009000000}" name="Outcome / Completion Notes" dataDxfId="1"/>
    <tableColumn id="10" xr3:uid="{00000000-0010-0000-0100-00000A000000}" name="Entry Statu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gacyCrosswalk" displayName="LegacyCrosswalk" ref="A1:D18">
  <autoFilter ref="A1:D18" xr:uid="{00000000-0009-0000-0100-000003000000}"/>
  <tableColumns count="4">
    <tableColumn id="1" xr3:uid="{00000000-0010-0000-0200-000001000000}" name="Legacy Task ID"/>
    <tableColumn id="2" xr3:uid="{00000000-0010-0000-0200-000002000000}" name="Legacy Task"/>
    <tableColumn id="3" xr3:uid="{00000000-0010-0000-0200-000003000000}" name="Planned Distribution Task IDs"/>
    <tableColumn id="4" xr3:uid="{00000000-0010-0000-0200-000004000000}" name="Crosswalk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47D83"/>
    <pageSetUpPr fitToPage="1"/>
  </sheetPr>
  <dimension ref="A1:H38"/>
  <sheetViews>
    <sheetView showGridLines="0" zoomScale="85" workbookViewId="0">
      <pane ySplit="4" topLeftCell="A5" activePane="bottomLeft" state="frozen"/>
      <selection pane="bottomLeft" activeCell="A9" sqref="A9:C9"/>
    </sheetView>
  </sheetViews>
  <sheetFormatPr defaultRowHeight="14.4" x14ac:dyDescent="0.3"/>
  <cols>
    <col min="1" max="1" width="20" customWidth="1"/>
    <col min="2" max="2" width="24" customWidth="1"/>
    <col min="3" max="3" width="20" customWidth="1"/>
    <col min="4" max="4" width="24" customWidth="1"/>
    <col min="5" max="5" width="18" customWidth="1"/>
    <col min="6" max="6" width="24" customWidth="1"/>
    <col min="7" max="7" width="18" customWidth="1"/>
    <col min="8" max="8" width="24" customWidth="1"/>
  </cols>
  <sheetData>
    <row r="1" spans="1:8" ht="36" customHeight="1" x14ac:dyDescent="0.3">
      <c r="A1" s="53" t="s">
        <v>0</v>
      </c>
      <c r="B1" s="45"/>
      <c r="C1" s="45"/>
      <c r="D1" s="45"/>
      <c r="E1" s="45"/>
      <c r="F1" s="45"/>
      <c r="G1" s="45"/>
      <c r="H1" s="45"/>
    </row>
    <row r="2" spans="1:8" ht="36" customHeight="1" x14ac:dyDescent="0.3">
      <c r="A2" s="48" t="s">
        <v>1</v>
      </c>
      <c r="B2" s="45"/>
      <c r="C2" s="45"/>
      <c r="D2" s="45"/>
      <c r="E2" s="45"/>
      <c r="F2" s="45"/>
      <c r="G2" s="45"/>
      <c r="H2" s="45"/>
    </row>
    <row r="4" spans="1:8" ht="24" customHeight="1" x14ac:dyDescent="0.3">
      <c r="A4" s="44" t="s">
        <v>2</v>
      </c>
      <c r="B4" s="45"/>
      <c r="C4" s="45"/>
      <c r="D4" s="45"/>
      <c r="E4" s="45"/>
      <c r="F4" s="45"/>
      <c r="G4" s="45"/>
      <c r="H4" s="45"/>
    </row>
    <row r="5" spans="1:8" ht="22.05" customHeight="1" x14ac:dyDescent="0.3">
      <c r="A5" s="46" t="s">
        <v>3</v>
      </c>
      <c r="B5" s="45"/>
      <c r="C5" s="45"/>
      <c r="E5" s="46" t="s">
        <v>4</v>
      </c>
      <c r="F5" s="45"/>
      <c r="G5" s="45"/>
    </row>
    <row r="6" spans="1:8" ht="34.049999999999997" customHeight="1" x14ac:dyDescent="0.3">
      <c r="A6" s="49">
        <f>COUNTA('Master Tracker'!$A$2:$A$69)</f>
        <v>68</v>
      </c>
      <c r="B6" s="45"/>
      <c r="C6" s="45"/>
      <c r="E6" s="49">
        <f>SUM('Master Tracker'!$G$2:$G$69)</f>
        <v>365</v>
      </c>
      <c r="F6" s="45"/>
      <c r="G6" s="45"/>
    </row>
    <row r="8" spans="1:8" ht="22.05" customHeight="1" x14ac:dyDescent="0.3">
      <c r="A8" s="46" t="s">
        <v>5</v>
      </c>
      <c r="B8" s="45"/>
      <c r="C8" s="45"/>
      <c r="E8" s="46" t="s">
        <v>6</v>
      </c>
      <c r="F8" s="45"/>
      <c r="G8" s="45"/>
    </row>
    <row r="9" spans="1:8" ht="34.049999999999997" customHeight="1" x14ac:dyDescent="0.3">
      <c r="A9" s="51">
        <f>SUM('Work Log'!$E$2:$E$74)</f>
        <v>389</v>
      </c>
      <c r="B9" s="45"/>
      <c r="C9" s="45"/>
      <c r="E9" s="52">
        <f>A9-E6</f>
        <v>24</v>
      </c>
      <c r="F9" s="45"/>
      <c r="G9" s="45"/>
    </row>
    <row r="10" spans="1:8" ht="24" customHeight="1" x14ac:dyDescent="0.3">
      <c r="A10" s="44" t="s">
        <v>7</v>
      </c>
      <c r="B10" s="45"/>
      <c r="C10" s="45"/>
      <c r="D10" s="45"/>
      <c r="E10" s="44" t="s">
        <v>8</v>
      </c>
      <c r="F10" s="45"/>
      <c r="G10" s="45"/>
      <c r="H10" s="45"/>
    </row>
    <row r="11" spans="1:8" x14ac:dyDescent="0.3">
      <c r="A11" s="4" t="s">
        <v>9</v>
      </c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11</v>
      </c>
      <c r="H11" s="4" t="s">
        <v>10</v>
      </c>
    </row>
    <row r="12" spans="1:8" ht="27" customHeight="1" x14ac:dyDescent="0.3">
      <c r="A12" s="5" t="s">
        <v>15</v>
      </c>
      <c r="B12" s="5">
        <f>COUNTIF('Master Tracker'!$F$2:$F$69,A12)</f>
        <v>40</v>
      </c>
      <c r="C12" s="6">
        <f>SUMIF('Master Tracker'!$F$2:$F$69,A12,'Master Tracker'!$G$2:$G$69)</f>
        <v>222</v>
      </c>
      <c r="D12" s="5" t="s">
        <v>16</v>
      </c>
      <c r="E12" s="5">
        <v>1</v>
      </c>
      <c r="F12" s="5" t="s">
        <v>17</v>
      </c>
      <c r="G12" s="6">
        <f>SUMIF('Master Tracker'!$B$2:$B$69,E12,'Master Tracker'!$G$2:$G$69)</f>
        <v>6</v>
      </c>
      <c r="H12" s="5">
        <f>COUNTIF('Master Tracker'!$B$2:$B$69,E12)</f>
        <v>2</v>
      </c>
    </row>
    <row r="13" spans="1:8" ht="27" customHeight="1" x14ac:dyDescent="0.3">
      <c r="A13" s="5" t="s">
        <v>18</v>
      </c>
      <c r="B13" s="5">
        <f>COUNTIF('Master Tracker'!$F$2:$F$69,A13)</f>
        <v>23</v>
      </c>
      <c r="C13" s="6">
        <f>SUMIF('Master Tracker'!$F$2:$F$69,A13,'Master Tracker'!$G$2:$G$69)</f>
        <v>119</v>
      </c>
      <c r="D13" s="5" t="s">
        <v>16</v>
      </c>
      <c r="E13" s="5">
        <v>2</v>
      </c>
      <c r="F13" s="5" t="s">
        <v>19</v>
      </c>
      <c r="G13" s="6">
        <f>SUMIF('Master Tracker'!$B$2:$B$69,E13,'Master Tracker'!$G$2:$G$69)</f>
        <v>7</v>
      </c>
      <c r="H13" s="5">
        <f>COUNTIF('Master Tracker'!$B$2:$B$69,E13)</f>
        <v>2</v>
      </c>
    </row>
    <row r="14" spans="1:8" ht="27" customHeight="1" x14ac:dyDescent="0.3">
      <c r="A14" s="5" t="s">
        <v>20</v>
      </c>
      <c r="B14" s="5">
        <f>COUNTIF('Master Tracker'!$F$2:$F$69,A14)</f>
        <v>5</v>
      </c>
      <c r="C14" s="6">
        <f>SUMIF('Master Tracker'!$F$2:$F$69,A14,'Master Tracker'!$G$2:$G$69)</f>
        <v>24</v>
      </c>
      <c r="D14" s="5" t="s">
        <v>16</v>
      </c>
      <c r="E14" s="5">
        <v>3</v>
      </c>
      <c r="F14" s="5" t="s">
        <v>21</v>
      </c>
      <c r="G14" s="6">
        <f>SUMIF('Master Tracker'!$B$2:$B$69,E14,'Master Tracker'!$G$2:$G$69)</f>
        <v>13</v>
      </c>
      <c r="H14" s="5">
        <f>COUNTIF('Master Tracker'!$B$2:$B$69,E14)</f>
        <v>3</v>
      </c>
    </row>
    <row r="15" spans="1:8" ht="27" customHeight="1" x14ac:dyDescent="0.3">
      <c r="A15" s="5"/>
      <c r="B15" s="5"/>
      <c r="C15" s="6"/>
      <c r="D15" s="5"/>
      <c r="E15" s="5">
        <v>4</v>
      </c>
      <c r="F15" s="5" t="s">
        <v>22</v>
      </c>
      <c r="G15" s="6">
        <f>SUMIF('Master Tracker'!$B$2:$B$69,E15,'Master Tracker'!$G$2:$G$69)</f>
        <v>23</v>
      </c>
      <c r="H15" s="5">
        <f>COUNTIF('Master Tracker'!$B$2:$B$69,E15)</f>
        <v>4</v>
      </c>
    </row>
    <row r="16" spans="1:8" ht="27" customHeight="1" x14ac:dyDescent="0.3">
      <c r="A16" s="5"/>
      <c r="B16" s="5"/>
      <c r="C16" s="6"/>
      <c r="D16" s="5"/>
      <c r="E16" s="5">
        <v>5</v>
      </c>
      <c r="F16" s="5" t="s">
        <v>23</v>
      </c>
      <c r="G16" s="6">
        <f>SUMIF('Master Tracker'!$B$2:$B$69,E16,'Master Tracker'!$G$2:$G$69)</f>
        <v>19</v>
      </c>
      <c r="H16" s="5">
        <f>COUNTIF('Master Tracker'!$B$2:$B$69,E16)</f>
        <v>3</v>
      </c>
    </row>
    <row r="17" spans="1:8" ht="27" customHeight="1" x14ac:dyDescent="0.3">
      <c r="A17" s="5"/>
      <c r="B17" s="5"/>
      <c r="C17" s="6"/>
      <c r="D17" s="5"/>
      <c r="E17" s="5">
        <v>6</v>
      </c>
      <c r="F17" s="5" t="s">
        <v>24</v>
      </c>
      <c r="G17" s="6">
        <f>SUMIF('Master Tracker'!$B$2:$B$69,E17,'Master Tracker'!$G$2:$G$69)</f>
        <v>37</v>
      </c>
      <c r="H17" s="5">
        <f>COUNTIF('Master Tracker'!$B$2:$B$69,E17)</f>
        <v>6</v>
      </c>
    </row>
    <row r="18" spans="1:8" ht="27" customHeight="1" x14ac:dyDescent="0.3">
      <c r="A18" s="5"/>
      <c r="B18" s="5"/>
      <c r="C18" s="6"/>
      <c r="D18" s="5"/>
      <c r="E18" s="5">
        <v>7</v>
      </c>
      <c r="F18" s="5" t="s">
        <v>25</v>
      </c>
      <c r="G18" s="6">
        <f>SUMIF('Master Tracker'!$B$2:$B$69,E18,'Master Tracker'!$G$2:$G$69)</f>
        <v>29</v>
      </c>
      <c r="H18" s="5">
        <f>COUNTIF('Master Tracker'!$B$2:$B$69,E18)</f>
        <v>5</v>
      </c>
    </row>
    <row r="19" spans="1:8" ht="27" customHeight="1" x14ac:dyDescent="0.3">
      <c r="A19" s="5"/>
      <c r="B19" s="5"/>
      <c r="C19" s="6"/>
      <c r="D19" s="5"/>
      <c r="E19" s="5">
        <v>8</v>
      </c>
      <c r="F19" s="5" t="s">
        <v>26</v>
      </c>
      <c r="G19" s="6">
        <f>SUMIF('Master Tracker'!$B$2:$B$69,E19,'Master Tracker'!$G$2:$G$69)</f>
        <v>64</v>
      </c>
      <c r="H19" s="5">
        <f>COUNTIF('Master Tracker'!$B$2:$B$69,E19)</f>
        <v>11</v>
      </c>
    </row>
    <row r="20" spans="1:8" ht="27" customHeight="1" x14ac:dyDescent="0.3">
      <c r="A20" s="5"/>
      <c r="B20" s="5"/>
      <c r="C20" s="6"/>
      <c r="D20" s="5"/>
      <c r="E20" s="5">
        <v>9</v>
      </c>
      <c r="F20" s="5" t="s">
        <v>27</v>
      </c>
      <c r="G20" s="6">
        <f>SUMIF('Master Tracker'!$B$2:$B$69,E20,'Master Tracker'!$G$2:$G$69)</f>
        <v>35</v>
      </c>
      <c r="H20" s="5">
        <f>COUNTIF('Master Tracker'!$B$2:$B$69,E20)</f>
        <v>7</v>
      </c>
    </row>
    <row r="21" spans="1:8" ht="27" customHeight="1" x14ac:dyDescent="0.3">
      <c r="A21" s="5"/>
      <c r="B21" s="5"/>
      <c r="C21" s="6"/>
      <c r="D21" s="5"/>
      <c r="E21" s="5">
        <v>10</v>
      </c>
      <c r="F21" s="5" t="s">
        <v>28</v>
      </c>
      <c r="G21" s="6">
        <f>SUMIF('Master Tracker'!$B$2:$B$69,E21,'Master Tracker'!$G$2:$G$69)</f>
        <v>9</v>
      </c>
      <c r="H21" s="5">
        <f>COUNTIF('Master Tracker'!$B$2:$B$69,E21)</f>
        <v>2</v>
      </c>
    </row>
    <row r="22" spans="1:8" ht="27" customHeight="1" x14ac:dyDescent="0.3">
      <c r="A22" s="5"/>
      <c r="B22" s="5"/>
      <c r="C22" s="6"/>
      <c r="D22" s="5"/>
      <c r="E22" s="5">
        <v>11</v>
      </c>
      <c r="F22" s="5" t="s">
        <v>29</v>
      </c>
      <c r="G22" s="6">
        <f>SUMIF('Master Tracker'!$B$2:$B$69,E22,'Master Tracker'!$G$2:$G$69)</f>
        <v>50</v>
      </c>
      <c r="H22" s="5">
        <f>COUNTIF('Master Tracker'!$B$2:$B$69,E22)</f>
        <v>10</v>
      </c>
    </row>
    <row r="23" spans="1:8" ht="27" customHeight="1" x14ac:dyDescent="0.3">
      <c r="A23" s="5"/>
      <c r="B23" s="5"/>
      <c r="C23" s="6"/>
      <c r="D23" s="5"/>
      <c r="E23" s="5">
        <v>12</v>
      </c>
      <c r="F23" s="5" t="s">
        <v>30</v>
      </c>
      <c r="G23" s="6">
        <f>SUMIF('Master Tracker'!$B$2:$B$69,E23,'Master Tracker'!$G$2:$G$69)</f>
        <v>49</v>
      </c>
      <c r="H23" s="5">
        <f>COUNTIF('Master Tracker'!$B$2:$B$69,E23)</f>
        <v>8</v>
      </c>
    </row>
    <row r="24" spans="1:8" ht="27" customHeight="1" x14ac:dyDescent="0.3">
      <c r="A24" s="5"/>
      <c r="B24" s="5"/>
      <c r="C24" s="6"/>
      <c r="D24" s="5"/>
      <c r="E24" s="5">
        <v>13</v>
      </c>
      <c r="F24" s="5" t="s">
        <v>31</v>
      </c>
      <c r="G24" s="6">
        <f>SUMIF('Master Tracker'!$B$2:$B$69,E24,'Master Tracker'!$G$2:$G$69)</f>
        <v>11</v>
      </c>
      <c r="H24" s="5">
        <f>COUNTIF('Master Tracker'!$B$2:$B$69,E24)</f>
        <v>2</v>
      </c>
    </row>
    <row r="25" spans="1:8" ht="27" customHeight="1" x14ac:dyDescent="0.3">
      <c r="A25" s="5"/>
      <c r="B25" s="5"/>
      <c r="C25" s="6"/>
      <c r="D25" s="5"/>
      <c r="E25" s="5">
        <v>14</v>
      </c>
      <c r="F25" s="5" t="s">
        <v>32</v>
      </c>
      <c r="G25" s="6">
        <f>SUMIF('Master Tracker'!$B$2:$B$69,E25,'Master Tracker'!$G$2:$G$69)</f>
        <v>9</v>
      </c>
      <c r="H25" s="5">
        <f>COUNTIF('Master Tracker'!$B$2:$B$69,E25)</f>
        <v>2</v>
      </c>
    </row>
    <row r="26" spans="1:8" ht="27" customHeight="1" x14ac:dyDescent="0.3">
      <c r="A26" s="5"/>
      <c r="B26" s="5"/>
      <c r="C26" s="6"/>
      <c r="D26" s="5"/>
      <c r="E26" s="5">
        <v>15</v>
      </c>
      <c r="F26" s="5" t="s">
        <v>33</v>
      </c>
      <c r="G26" s="6">
        <f>SUMIF('Master Tracker'!$B$2:$B$69,E26,'Master Tracker'!$G$2:$G$69)</f>
        <v>4</v>
      </c>
      <c r="H26" s="5">
        <f>COUNTIF('Master Tracker'!$B$2:$B$69,E26)</f>
        <v>1</v>
      </c>
    </row>
    <row r="33" spans="5:8" ht="24" customHeight="1" x14ac:dyDescent="0.3">
      <c r="E33" s="44" t="s">
        <v>34</v>
      </c>
      <c r="F33" s="45"/>
      <c r="G33" s="45"/>
      <c r="H33" s="45"/>
    </row>
    <row r="34" spans="5:8" ht="70.05" customHeight="1" x14ac:dyDescent="0.3">
      <c r="E34" s="47" t="s">
        <v>35</v>
      </c>
      <c r="F34" s="45"/>
      <c r="G34" s="45"/>
      <c r="H34" s="45"/>
    </row>
    <row r="37" spans="5:8" ht="24" customHeight="1" x14ac:dyDescent="0.3">
      <c r="E37" s="44" t="s">
        <v>36</v>
      </c>
      <c r="F37" s="45"/>
      <c r="G37" s="45"/>
      <c r="H37" s="45"/>
    </row>
    <row r="38" spans="5:8" ht="64.95" customHeight="1" x14ac:dyDescent="0.3">
      <c r="E38" s="50" t="s">
        <v>37</v>
      </c>
      <c r="F38" s="45"/>
      <c r="G38" s="45"/>
      <c r="H38" s="45"/>
    </row>
  </sheetData>
  <mergeCells count="17">
    <mergeCell ref="A1:H1"/>
    <mergeCell ref="E33:H33"/>
    <mergeCell ref="A10:D10"/>
    <mergeCell ref="E10:H10"/>
    <mergeCell ref="E6:G6"/>
    <mergeCell ref="A2:H2"/>
    <mergeCell ref="A8:C8"/>
    <mergeCell ref="A6:C6"/>
    <mergeCell ref="E8:G8"/>
    <mergeCell ref="E38:H38"/>
    <mergeCell ref="A9:C9"/>
    <mergeCell ref="E9:G9"/>
    <mergeCell ref="A4:H4"/>
    <mergeCell ref="E37:H37"/>
    <mergeCell ref="A5:C5"/>
    <mergeCell ref="E5:G5"/>
    <mergeCell ref="E34:H34"/>
  </mergeCells>
  <conditionalFormatting sqref="G12:G26">
    <cfRule type="dataBar" priority="1">
      <dataBar>
        <cfvo type="num" val="0"/>
        <cfvo type="max"/>
        <color rgb="FF147D83"/>
      </dataBar>
    </cfRule>
  </conditionalFormatting>
  <pageMargins left="0.75" right="0.75" top="1" bottom="1" header="0.5" footer="0.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47D83"/>
    <pageSetUpPr fitToPage="1"/>
  </sheetPr>
  <dimension ref="A1:P69"/>
  <sheetViews>
    <sheetView showGridLines="0" zoomScale="75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2" customWidth="1"/>
    <col min="3" max="3" width="18" customWidth="1"/>
    <col min="4" max="4" width="46" customWidth="1"/>
    <col min="5" max="5" width="43" customWidth="1"/>
    <col min="6" max="6" width="16" customWidth="1"/>
    <col min="7" max="7" width="15" customWidth="1"/>
    <col min="8" max="8" width="24" customWidth="1"/>
    <col min="9" max="9" width="19" customWidth="1"/>
    <col min="10" max="10" width="40" customWidth="1"/>
    <col min="11" max="11" width="38" customWidth="1"/>
    <col min="12" max="12" width="18" customWidth="1"/>
    <col min="13" max="13" width="30" customWidth="1"/>
    <col min="14" max="14" width="58" customWidth="1"/>
    <col min="15" max="16" width="76" customWidth="1"/>
    <col min="17" max="17" width="15" customWidth="1"/>
    <col min="18" max="18" width="44" customWidth="1"/>
    <col min="19" max="19" width="66" customWidth="1"/>
    <col min="20" max="20" width="54" customWidth="1"/>
    <col min="21" max="21" width="15" customWidth="1"/>
  </cols>
  <sheetData>
    <row r="1" spans="1:16" ht="37.950000000000003" customHeight="1" x14ac:dyDescent="0.3">
      <c r="A1" s="7" t="s">
        <v>38</v>
      </c>
      <c r="B1" s="7" t="s">
        <v>13</v>
      </c>
      <c r="C1" s="7" t="s">
        <v>14</v>
      </c>
      <c r="D1" s="7" t="s">
        <v>39</v>
      </c>
      <c r="E1" s="7" t="s">
        <v>40</v>
      </c>
      <c r="F1" s="7" t="s">
        <v>9</v>
      </c>
      <c r="G1" s="7" t="s">
        <v>11</v>
      </c>
      <c r="H1" s="7" t="s">
        <v>41</v>
      </c>
      <c r="I1" s="7" t="s">
        <v>42</v>
      </c>
      <c r="J1" s="7" t="s">
        <v>43</v>
      </c>
      <c r="K1" s="7" t="s">
        <v>44</v>
      </c>
      <c r="L1" s="7" t="s">
        <v>45</v>
      </c>
      <c r="M1" s="7" t="s">
        <v>46</v>
      </c>
      <c r="N1" s="7" t="s">
        <v>47</v>
      </c>
      <c r="O1" s="7" t="s">
        <v>48</v>
      </c>
      <c r="P1" s="7" t="s">
        <v>49</v>
      </c>
    </row>
    <row r="2" spans="1:16" ht="58.05" customHeight="1" x14ac:dyDescent="0.3">
      <c r="A2" s="8" t="s">
        <v>50</v>
      </c>
      <c r="B2" s="8">
        <v>1</v>
      </c>
      <c r="C2" s="8" t="s">
        <v>17</v>
      </c>
      <c r="D2" s="8" t="s">
        <v>51</v>
      </c>
      <c r="E2" s="8" t="s">
        <v>52</v>
      </c>
      <c r="F2" s="9" t="s">
        <v>15</v>
      </c>
      <c r="G2" s="10">
        <v>3</v>
      </c>
      <c r="H2" s="14">
        <v>46290</v>
      </c>
      <c r="I2" s="8" t="s">
        <v>53</v>
      </c>
      <c r="J2" s="8" t="s">
        <v>54</v>
      </c>
      <c r="K2" s="8" t="s">
        <v>55</v>
      </c>
      <c r="L2" s="8" t="s">
        <v>56</v>
      </c>
      <c r="M2" s="8" t="s">
        <v>57</v>
      </c>
      <c r="N2" s="8" t="s">
        <v>58</v>
      </c>
      <c r="O2" s="8" t="s">
        <v>59</v>
      </c>
      <c r="P2" s="11"/>
    </row>
    <row r="3" spans="1:16" ht="58.05" customHeight="1" x14ac:dyDescent="0.3">
      <c r="A3" s="8" t="s">
        <v>60</v>
      </c>
      <c r="B3" s="8">
        <v>1</v>
      </c>
      <c r="C3" s="8" t="s">
        <v>17</v>
      </c>
      <c r="D3" s="8" t="s">
        <v>61</v>
      </c>
      <c r="E3" s="8" t="s">
        <v>62</v>
      </c>
      <c r="F3" s="9" t="s">
        <v>18</v>
      </c>
      <c r="G3" s="10">
        <v>3</v>
      </c>
      <c r="H3" s="14">
        <v>46290</v>
      </c>
      <c r="I3" s="8" t="s">
        <v>53</v>
      </c>
      <c r="J3" s="8" t="s">
        <v>54</v>
      </c>
      <c r="K3" s="8" t="s">
        <v>55</v>
      </c>
      <c r="L3" s="8" t="s">
        <v>56</v>
      </c>
      <c r="M3" s="8" t="s">
        <v>57</v>
      </c>
      <c r="N3" s="8" t="s">
        <v>63</v>
      </c>
      <c r="O3" s="8" t="s">
        <v>59</v>
      </c>
      <c r="P3" s="11"/>
    </row>
    <row r="4" spans="1:16" ht="58.05" customHeight="1" x14ac:dyDescent="0.3">
      <c r="A4" s="8" t="s">
        <v>64</v>
      </c>
      <c r="B4" s="8">
        <v>2</v>
      </c>
      <c r="C4" s="8" t="s">
        <v>19</v>
      </c>
      <c r="D4" s="8" t="s">
        <v>65</v>
      </c>
      <c r="E4" s="8" t="s">
        <v>66</v>
      </c>
      <c r="F4" s="9" t="s">
        <v>15</v>
      </c>
      <c r="G4" s="10">
        <v>3</v>
      </c>
      <c r="H4" s="14">
        <v>46290</v>
      </c>
      <c r="I4" s="8" t="s">
        <v>53</v>
      </c>
      <c r="J4" s="8" t="s">
        <v>54</v>
      </c>
      <c r="K4" s="8" t="s">
        <v>55</v>
      </c>
      <c r="L4" s="8" t="s">
        <v>67</v>
      </c>
      <c r="M4" s="8" t="s">
        <v>57</v>
      </c>
      <c r="N4" s="8" t="s">
        <v>68</v>
      </c>
      <c r="O4" s="8" t="s">
        <v>59</v>
      </c>
      <c r="P4" s="11"/>
    </row>
    <row r="5" spans="1:16" ht="58.05" customHeight="1" x14ac:dyDescent="0.3">
      <c r="A5" s="8" t="s">
        <v>69</v>
      </c>
      <c r="B5" s="8">
        <v>2</v>
      </c>
      <c r="C5" s="8" t="s">
        <v>19</v>
      </c>
      <c r="D5" s="8" t="s">
        <v>70</v>
      </c>
      <c r="E5" s="8" t="s">
        <v>71</v>
      </c>
      <c r="F5" s="9" t="s">
        <v>18</v>
      </c>
      <c r="G5" s="10">
        <v>4</v>
      </c>
      <c r="H5" s="14">
        <v>46290</v>
      </c>
      <c r="I5" s="8" t="s">
        <v>53</v>
      </c>
      <c r="J5" s="8" t="s">
        <v>54</v>
      </c>
      <c r="K5" s="8" t="s">
        <v>55</v>
      </c>
      <c r="L5" s="8" t="s">
        <v>67</v>
      </c>
      <c r="M5" s="8" t="s">
        <v>57</v>
      </c>
      <c r="N5" s="8" t="s">
        <v>72</v>
      </c>
      <c r="O5" s="8" t="s">
        <v>59</v>
      </c>
      <c r="P5" s="11"/>
    </row>
    <row r="6" spans="1:16" ht="58.05" customHeight="1" x14ac:dyDescent="0.3">
      <c r="A6" s="8" t="s">
        <v>73</v>
      </c>
      <c r="B6" s="8">
        <v>3</v>
      </c>
      <c r="C6" s="8" t="s">
        <v>21</v>
      </c>
      <c r="D6" s="8" t="s">
        <v>74</v>
      </c>
      <c r="E6" s="8" t="s">
        <v>75</v>
      </c>
      <c r="F6" s="9" t="s">
        <v>18</v>
      </c>
      <c r="G6" s="10">
        <v>4</v>
      </c>
      <c r="H6" s="14">
        <v>46290</v>
      </c>
      <c r="I6" s="8" t="s">
        <v>53</v>
      </c>
      <c r="J6" s="8" t="s">
        <v>54</v>
      </c>
      <c r="K6" s="8" t="s">
        <v>55</v>
      </c>
      <c r="L6" s="8" t="s">
        <v>76</v>
      </c>
      <c r="M6" s="8" t="s">
        <v>57</v>
      </c>
      <c r="N6" s="8" t="s">
        <v>58</v>
      </c>
      <c r="O6" s="8" t="s">
        <v>59</v>
      </c>
      <c r="P6" s="11"/>
    </row>
    <row r="7" spans="1:16" ht="58.05" customHeight="1" x14ac:dyDescent="0.3">
      <c r="A7" s="8" t="s">
        <v>77</v>
      </c>
      <c r="B7" s="8">
        <v>3</v>
      </c>
      <c r="C7" s="8" t="s">
        <v>21</v>
      </c>
      <c r="D7" s="8" t="s">
        <v>78</v>
      </c>
      <c r="E7" s="8" t="s">
        <v>79</v>
      </c>
      <c r="F7" s="9" t="s">
        <v>18</v>
      </c>
      <c r="G7" s="10">
        <v>5</v>
      </c>
      <c r="H7" s="14">
        <v>46290</v>
      </c>
      <c r="I7" s="8" t="s">
        <v>53</v>
      </c>
      <c r="J7" s="8" t="s">
        <v>54</v>
      </c>
      <c r="K7" s="8" t="s">
        <v>55</v>
      </c>
      <c r="L7" s="8" t="s">
        <v>76</v>
      </c>
      <c r="M7" s="8" t="s">
        <v>57</v>
      </c>
      <c r="N7" s="8" t="s">
        <v>63</v>
      </c>
      <c r="O7" s="8" t="s">
        <v>59</v>
      </c>
      <c r="P7" s="11"/>
    </row>
    <row r="8" spans="1:16" ht="58.05" customHeight="1" x14ac:dyDescent="0.3">
      <c r="A8" s="8" t="s">
        <v>80</v>
      </c>
      <c r="B8" s="8">
        <v>3</v>
      </c>
      <c r="C8" s="8" t="s">
        <v>21</v>
      </c>
      <c r="D8" s="8" t="s">
        <v>81</v>
      </c>
      <c r="E8" s="8" t="s">
        <v>82</v>
      </c>
      <c r="F8" s="9" t="s">
        <v>18</v>
      </c>
      <c r="G8" s="10">
        <v>4</v>
      </c>
      <c r="H8" s="14">
        <v>46290</v>
      </c>
      <c r="I8" s="8" t="s">
        <v>53</v>
      </c>
      <c r="J8" s="8" t="s">
        <v>54</v>
      </c>
      <c r="K8" s="8" t="s">
        <v>55</v>
      </c>
      <c r="L8" s="8" t="s">
        <v>76</v>
      </c>
      <c r="M8" s="8" t="s">
        <v>57</v>
      </c>
      <c r="N8" s="8" t="s">
        <v>58</v>
      </c>
      <c r="O8" s="8" t="s">
        <v>59</v>
      </c>
      <c r="P8" s="11"/>
    </row>
    <row r="9" spans="1:16" ht="58.05" customHeight="1" x14ac:dyDescent="0.3">
      <c r="A9" s="8" t="s">
        <v>83</v>
      </c>
      <c r="B9" s="8">
        <v>4</v>
      </c>
      <c r="C9" s="8" t="s">
        <v>22</v>
      </c>
      <c r="D9" s="8" t="s">
        <v>84</v>
      </c>
      <c r="E9" s="8" t="s">
        <v>85</v>
      </c>
      <c r="F9" s="9" t="s">
        <v>15</v>
      </c>
      <c r="G9" s="10">
        <v>6</v>
      </c>
      <c r="H9" s="14">
        <v>46290</v>
      </c>
      <c r="I9" s="8" t="s">
        <v>53</v>
      </c>
      <c r="J9" s="8" t="s">
        <v>54</v>
      </c>
      <c r="K9" s="8" t="s">
        <v>55</v>
      </c>
      <c r="L9" s="8" t="s">
        <v>86</v>
      </c>
      <c r="M9" s="8" t="s">
        <v>57</v>
      </c>
      <c r="N9" s="8" t="s">
        <v>87</v>
      </c>
      <c r="O9" s="8" t="s">
        <v>59</v>
      </c>
      <c r="P9" s="11"/>
    </row>
    <row r="10" spans="1:16" ht="58.05" customHeight="1" x14ac:dyDescent="0.3">
      <c r="A10" s="8" t="s">
        <v>88</v>
      </c>
      <c r="B10" s="8">
        <v>4</v>
      </c>
      <c r="C10" s="8" t="s">
        <v>22</v>
      </c>
      <c r="D10" s="8" t="s">
        <v>89</v>
      </c>
      <c r="E10" s="8" t="s">
        <v>90</v>
      </c>
      <c r="F10" s="9" t="s">
        <v>15</v>
      </c>
      <c r="G10" s="10">
        <v>5</v>
      </c>
      <c r="H10" s="14">
        <v>46290</v>
      </c>
      <c r="I10" s="8" t="s">
        <v>53</v>
      </c>
      <c r="J10" s="8" t="s">
        <v>54</v>
      </c>
      <c r="K10" s="8" t="s">
        <v>55</v>
      </c>
      <c r="L10" s="8" t="s">
        <v>86</v>
      </c>
      <c r="M10" s="8" t="s">
        <v>57</v>
      </c>
      <c r="N10" s="8" t="s">
        <v>91</v>
      </c>
      <c r="O10" s="8" t="s">
        <v>59</v>
      </c>
      <c r="P10" s="11"/>
    </row>
    <row r="11" spans="1:16" ht="58.05" customHeight="1" x14ac:dyDescent="0.3">
      <c r="A11" s="8" t="s">
        <v>92</v>
      </c>
      <c r="B11" s="8">
        <v>4</v>
      </c>
      <c r="C11" s="8" t="s">
        <v>22</v>
      </c>
      <c r="D11" s="8" t="s">
        <v>93</v>
      </c>
      <c r="E11" s="8" t="s">
        <v>94</v>
      </c>
      <c r="F11" s="9" t="s">
        <v>15</v>
      </c>
      <c r="G11" s="10">
        <v>6</v>
      </c>
      <c r="H11" s="14">
        <v>46291</v>
      </c>
      <c r="I11" s="8" t="s">
        <v>53</v>
      </c>
      <c r="J11" s="8" t="s">
        <v>54</v>
      </c>
      <c r="K11" s="8" t="s">
        <v>55</v>
      </c>
      <c r="L11" s="8" t="s">
        <v>86</v>
      </c>
      <c r="M11" s="8" t="s">
        <v>95</v>
      </c>
      <c r="N11" s="8" t="s">
        <v>96</v>
      </c>
      <c r="O11" s="8" t="s">
        <v>59</v>
      </c>
      <c r="P11" s="11"/>
    </row>
    <row r="12" spans="1:16" ht="58.05" customHeight="1" x14ac:dyDescent="0.3">
      <c r="A12" s="8" t="s">
        <v>97</v>
      </c>
      <c r="B12" s="8">
        <v>4</v>
      </c>
      <c r="C12" s="8" t="s">
        <v>22</v>
      </c>
      <c r="D12" s="8" t="s">
        <v>98</v>
      </c>
      <c r="E12" s="8" t="s">
        <v>99</v>
      </c>
      <c r="F12" s="9" t="s">
        <v>15</v>
      </c>
      <c r="G12" s="10">
        <v>6</v>
      </c>
      <c r="H12" s="14">
        <v>46291</v>
      </c>
      <c r="I12" s="8" t="s">
        <v>53</v>
      </c>
      <c r="J12" s="8" t="s">
        <v>54</v>
      </c>
      <c r="K12" s="8" t="s">
        <v>55</v>
      </c>
      <c r="L12" s="8" t="s">
        <v>86</v>
      </c>
      <c r="M12" s="8" t="s">
        <v>57</v>
      </c>
      <c r="N12" s="8" t="s">
        <v>100</v>
      </c>
      <c r="O12" s="8" t="s">
        <v>59</v>
      </c>
      <c r="P12" s="11"/>
    </row>
    <row r="13" spans="1:16" ht="58.05" customHeight="1" x14ac:dyDescent="0.3">
      <c r="A13" s="8" t="s">
        <v>101</v>
      </c>
      <c r="B13" s="8">
        <v>5</v>
      </c>
      <c r="C13" s="8" t="s">
        <v>23</v>
      </c>
      <c r="D13" s="8" t="s">
        <v>102</v>
      </c>
      <c r="E13" s="8" t="s">
        <v>103</v>
      </c>
      <c r="F13" s="9" t="s">
        <v>15</v>
      </c>
      <c r="G13" s="10">
        <v>7</v>
      </c>
      <c r="H13" s="14">
        <v>46291</v>
      </c>
      <c r="I13" s="8" t="s">
        <v>53</v>
      </c>
      <c r="J13" s="8" t="s">
        <v>54</v>
      </c>
      <c r="K13" s="8" t="s">
        <v>55</v>
      </c>
      <c r="L13" s="8" t="s">
        <v>104</v>
      </c>
      <c r="M13" s="8" t="s">
        <v>57</v>
      </c>
      <c r="N13" s="8" t="s">
        <v>105</v>
      </c>
      <c r="O13" s="8" t="s">
        <v>59</v>
      </c>
      <c r="P13" s="11"/>
    </row>
    <row r="14" spans="1:16" ht="58.05" customHeight="1" x14ac:dyDescent="0.3">
      <c r="A14" s="8" t="s">
        <v>106</v>
      </c>
      <c r="B14" s="8">
        <v>5</v>
      </c>
      <c r="C14" s="8" t="s">
        <v>23</v>
      </c>
      <c r="D14" s="8" t="s">
        <v>107</v>
      </c>
      <c r="E14" s="8" t="s">
        <v>108</v>
      </c>
      <c r="F14" s="9" t="s">
        <v>15</v>
      </c>
      <c r="G14" s="10">
        <v>7</v>
      </c>
      <c r="H14" s="14">
        <v>46291</v>
      </c>
      <c r="I14" s="8" t="s">
        <v>53</v>
      </c>
      <c r="J14" s="8" t="s">
        <v>54</v>
      </c>
      <c r="K14" s="8" t="s">
        <v>55</v>
      </c>
      <c r="L14" s="8" t="s">
        <v>104</v>
      </c>
      <c r="M14" s="8" t="s">
        <v>57</v>
      </c>
      <c r="N14" s="8" t="s">
        <v>105</v>
      </c>
      <c r="O14" s="8" t="s">
        <v>59</v>
      </c>
      <c r="P14" s="11"/>
    </row>
    <row r="15" spans="1:16" ht="58.05" customHeight="1" x14ac:dyDescent="0.3">
      <c r="A15" s="8" t="s">
        <v>109</v>
      </c>
      <c r="B15" s="8">
        <v>5</v>
      </c>
      <c r="C15" s="8" t="s">
        <v>23</v>
      </c>
      <c r="D15" s="8" t="s">
        <v>110</v>
      </c>
      <c r="E15" s="8" t="s">
        <v>110</v>
      </c>
      <c r="F15" s="9" t="s">
        <v>15</v>
      </c>
      <c r="G15" s="10">
        <v>5</v>
      </c>
      <c r="H15" s="14">
        <v>46291</v>
      </c>
      <c r="I15" s="8" t="s">
        <v>53</v>
      </c>
      <c r="J15" s="8" t="s">
        <v>54</v>
      </c>
      <c r="K15" s="8" t="s">
        <v>55</v>
      </c>
      <c r="L15" s="8" t="s">
        <v>104</v>
      </c>
      <c r="M15" s="8" t="s">
        <v>57</v>
      </c>
      <c r="N15" s="8" t="s">
        <v>105</v>
      </c>
      <c r="O15" s="8" t="s">
        <v>59</v>
      </c>
      <c r="P15" s="11"/>
    </row>
    <row r="16" spans="1:16" ht="58.05" customHeight="1" x14ac:dyDescent="0.3">
      <c r="A16" s="8" t="s">
        <v>111</v>
      </c>
      <c r="B16" s="8">
        <v>6</v>
      </c>
      <c r="C16" s="8" t="s">
        <v>24</v>
      </c>
      <c r="D16" s="8" t="s">
        <v>112</v>
      </c>
      <c r="E16" s="8" t="s">
        <v>113</v>
      </c>
      <c r="F16" s="9" t="s">
        <v>15</v>
      </c>
      <c r="G16" s="10">
        <v>4</v>
      </c>
      <c r="H16" s="14">
        <v>46291</v>
      </c>
      <c r="I16" s="8" t="s">
        <v>53</v>
      </c>
      <c r="J16" s="8" t="s">
        <v>54</v>
      </c>
      <c r="K16" s="8" t="s">
        <v>55</v>
      </c>
      <c r="L16" s="8" t="s">
        <v>114</v>
      </c>
      <c r="M16" s="8" t="s">
        <v>57</v>
      </c>
      <c r="N16" s="8" t="s">
        <v>115</v>
      </c>
      <c r="O16" s="8" t="s">
        <v>59</v>
      </c>
      <c r="P16" s="11"/>
    </row>
    <row r="17" spans="1:16" ht="58.05" customHeight="1" x14ac:dyDescent="0.3">
      <c r="A17" s="8" t="s">
        <v>116</v>
      </c>
      <c r="B17" s="8">
        <v>6</v>
      </c>
      <c r="C17" s="8" t="s">
        <v>24</v>
      </c>
      <c r="D17" s="8" t="s">
        <v>117</v>
      </c>
      <c r="E17" s="8" t="s">
        <v>118</v>
      </c>
      <c r="F17" s="9" t="s">
        <v>15</v>
      </c>
      <c r="G17" s="10">
        <v>7</v>
      </c>
      <c r="H17" s="14">
        <v>46291</v>
      </c>
      <c r="I17" s="8" t="s">
        <v>53</v>
      </c>
      <c r="J17" s="8" t="s">
        <v>54</v>
      </c>
      <c r="K17" s="8" t="s">
        <v>55</v>
      </c>
      <c r="L17" s="8" t="s">
        <v>114</v>
      </c>
      <c r="M17" s="8" t="s">
        <v>57</v>
      </c>
      <c r="N17" s="8" t="s">
        <v>119</v>
      </c>
      <c r="O17" s="8" t="s">
        <v>59</v>
      </c>
      <c r="P17" s="11"/>
    </row>
    <row r="18" spans="1:16" ht="58.05" customHeight="1" x14ac:dyDescent="0.3">
      <c r="A18" s="8" t="s">
        <v>120</v>
      </c>
      <c r="B18" s="8">
        <v>6</v>
      </c>
      <c r="C18" s="8" t="s">
        <v>24</v>
      </c>
      <c r="D18" s="8" t="s">
        <v>121</v>
      </c>
      <c r="E18" s="8" t="s">
        <v>122</v>
      </c>
      <c r="F18" s="9" t="s">
        <v>15</v>
      </c>
      <c r="G18" s="10">
        <v>9</v>
      </c>
      <c r="H18" s="14">
        <v>46291</v>
      </c>
      <c r="I18" s="8" t="s">
        <v>53</v>
      </c>
      <c r="J18" s="8" t="s">
        <v>54</v>
      </c>
      <c r="K18" s="8" t="s">
        <v>55</v>
      </c>
      <c r="L18" s="8" t="s">
        <v>114</v>
      </c>
      <c r="M18" s="8" t="s">
        <v>57</v>
      </c>
      <c r="N18" s="8" t="s">
        <v>119</v>
      </c>
      <c r="O18" s="8" t="s">
        <v>59</v>
      </c>
      <c r="P18" s="11"/>
    </row>
    <row r="19" spans="1:16" ht="58.05" customHeight="1" x14ac:dyDescent="0.3">
      <c r="A19" s="8" t="s">
        <v>123</v>
      </c>
      <c r="B19" s="8">
        <v>6</v>
      </c>
      <c r="C19" s="8" t="s">
        <v>24</v>
      </c>
      <c r="D19" s="8" t="s">
        <v>124</v>
      </c>
      <c r="E19" s="8" t="s">
        <v>125</v>
      </c>
      <c r="F19" s="9" t="s">
        <v>15</v>
      </c>
      <c r="G19" s="10">
        <v>6</v>
      </c>
      <c r="H19" s="14">
        <v>46292</v>
      </c>
      <c r="I19" s="8" t="s">
        <v>53</v>
      </c>
      <c r="J19" s="8" t="s">
        <v>54</v>
      </c>
      <c r="K19" s="8" t="s">
        <v>55</v>
      </c>
      <c r="L19" s="8" t="s">
        <v>114</v>
      </c>
      <c r="M19" s="8" t="s">
        <v>126</v>
      </c>
      <c r="N19" s="8" t="s">
        <v>127</v>
      </c>
      <c r="O19" s="8" t="s">
        <v>59</v>
      </c>
      <c r="P19" s="11"/>
    </row>
    <row r="20" spans="1:16" ht="58.05" customHeight="1" x14ac:dyDescent="0.3">
      <c r="A20" s="8" t="s">
        <v>128</v>
      </c>
      <c r="B20" s="8">
        <v>6</v>
      </c>
      <c r="C20" s="8" t="s">
        <v>24</v>
      </c>
      <c r="D20" s="8" t="s">
        <v>129</v>
      </c>
      <c r="E20" s="8" t="s">
        <v>125</v>
      </c>
      <c r="F20" s="9" t="s">
        <v>15</v>
      </c>
      <c r="G20" s="10">
        <v>5</v>
      </c>
      <c r="H20" s="14">
        <v>46292</v>
      </c>
      <c r="I20" s="8" t="s">
        <v>53</v>
      </c>
      <c r="J20" s="8" t="s">
        <v>54</v>
      </c>
      <c r="K20" s="8" t="s">
        <v>55</v>
      </c>
      <c r="L20" s="8" t="s">
        <v>114</v>
      </c>
      <c r="M20" s="8" t="s">
        <v>130</v>
      </c>
      <c r="N20" s="8" t="s">
        <v>131</v>
      </c>
      <c r="O20" s="8" t="s">
        <v>59</v>
      </c>
      <c r="P20" s="11"/>
    </row>
    <row r="21" spans="1:16" ht="58.05" customHeight="1" x14ac:dyDescent="0.3">
      <c r="A21" s="8" t="s">
        <v>132</v>
      </c>
      <c r="B21" s="8">
        <v>6</v>
      </c>
      <c r="C21" s="8" t="s">
        <v>24</v>
      </c>
      <c r="D21" s="8" t="s">
        <v>133</v>
      </c>
      <c r="E21" s="8" t="s">
        <v>134</v>
      </c>
      <c r="F21" s="9" t="s">
        <v>15</v>
      </c>
      <c r="G21" s="10">
        <v>6</v>
      </c>
      <c r="H21" s="14">
        <v>46292</v>
      </c>
      <c r="I21" s="8" t="s">
        <v>53</v>
      </c>
      <c r="J21" s="8" t="s">
        <v>54</v>
      </c>
      <c r="K21" s="8" t="s">
        <v>55</v>
      </c>
      <c r="L21" s="8" t="s">
        <v>114</v>
      </c>
      <c r="M21" s="8" t="s">
        <v>135</v>
      </c>
      <c r="N21" s="8" t="s">
        <v>127</v>
      </c>
      <c r="O21" s="8" t="s">
        <v>59</v>
      </c>
      <c r="P21" s="11"/>
    </row>
    <row r="22" spans="1:16" ht="58.05" customHeight="1" x14ac:dyDescent="0.3">
      <c r="A22" s="8" t="s">
        <v>136</v>
      </c>
      <c r="B22" s="8">
        <v>7</v>
      </c>
      <c r="C22" s="8" t="s">
        <v>25</v>
      </c>
      <c r="D22" s="8" t="s">
        <v>137</v>
      </c>
      <c r="E22" s="8" t="s">
        <v>138</v>
      </c>
      <c r="F22" s="9" t="s">
        <v>15</v>
      </c>
      <c r="G22" s="10">
        <v>5</v>
      </c>
      <c r="H22" s="14">
        <v>46292</v>
      </c>
      <c r="I22" s="8" t="s">
        <v>53</v>
      </c>
      <c r="J22" s="8" t="s">
        <v>54</v>
      </c>
      <c r="K22" s="8" t="s">
        <v>55</v>
      </c>
      <c r="L22" s="8" t="s">
        <v>139</v>
      </c>
      <c r="M22" s="8" t="s">
        <v>57</v>
      </c>
      <c r="N22" s="8" t="s">
        <v>140</v>
      </c>
      <c r="O22" s="8" t="s">
        <v>59</v>
      </c>
      <c r="P22" s="11"/>
    </row>
    <row r="23" spans="1:16" ht="58.05" customHeight="1" x14ac:dyDescent="0.3">
      <c r="A23" s="8" t="s">
        <v>141</v>
      </c>
      <c r="B23" s="8">
        <v>7</v>
      </c>
      <c r="C23" s="8" t="s">
        <v>25</v>
      </c>
      <c r="D23" s="8" t="s">
        <v>142</v>
      </c>
      <c r="E23" s="8" t="s">
        <v>143</v>
      </c>
      <c r="F23" s="9" t="s">
        <v>15</v>
      </c>
      <c r="G23" s="10">
        <v>6</v>
      </c>
      <c r="H23" s="14">
        <v>46292</v>
      </c>
      <c r="I23" s="8" t="s">
        <v>53</v>
      </c>
      <c r="J23" s="8" t="s">
        <v>54</v>
      </c>
      <c r="K23" s="8" t="s">
        <v>55</v>
      </c>
      <c r="L23" s="8" t="s">
        <v>139</v>
      </c>
      <c r="M23" s="8" t="s">
        <v>57</v>
      </c>
      <c r="N23" s="8" t="s">
        <v>144</v>
      </c>
      <c r="O23" s="8" t="s">
        <v>59</v>
      </c>
      <c r="P23" s="11"/>
    </row>
    <row r="24" spans="1:16" ht="58.05" customHeight="1" x14ac:dyDescent="0.3">
      <c r="A24" s="8" t="s">
        <v>145</v>
      </c>
      <c r="B24" s="8">
        <v>7</v>
      </c>
      <c r="C24" s="8" t="s">
        <v>25</v>
      </c>
      <c r="D24" s="8" t="s">
        <v>146</v>
      </c>
      <c r="E24" s="8" t="s">
        <v>147</v>
      </c>
      <c r="F24" s="9" t="s">
        <v>15</v>
      </c>
      <c r="G24" s="10">
        <v>6</v>
      </c>
      <c r="H24" s="14">
        <v>46292</v>
      </c>
      <c r="I24" s="8" t="s">
        <v>53</v>
      </c>
      <c r="J24" s="8" t="s">
        <v>54</v>
      </c>
      <c r="K24" s="8" t="s">
        <v>55</v>
      </c>
      <c r="L24" s="8" t="s">
        <v>139</v>
      </c>
      <c r="M24" s="8" t="s">
        <v>57</v>
      </c>
      <c r="N24" s="8" t="s">
        <v>148</v>
      </c>
      <c r="O24" s="8" t="s">
        <v>59</v>
      </c>
      <c r="P24" s="11"/>
    </row>
    <row r="25" spans="1:16" ht="58.05" customHeight="1" x14ac:dyDescent="0.3">
      <c r="A25" s="8" t="s">
        <v>149</v>
      </c>
      <c r="B25" s="8">
        <v>7</v>
      </c>
      <c r="C25" s="8" t="s">
        <v>25</v>
      </c>
      <c r="D25" s="8" t="s">
        <v>150</v>
      </c>
      <c r="E25" s="8" t="s">
        <v>151</v>
      </c>
      <c r="F25" s="9" t="s">
        <v>15</v>
      </c>
      <c r="G25" s="10">
        <v>7</v>
      </c>
      <c r="H25" s="14">
        <v>46292</v>
      </c>
      <c r="I25" s="8" t="s">
        <v>53</v>
      </c>
      <c r="J25" s="8" t="s">
        <v>54</v>
      </c>
      <c r="K25" s="8" t="s">
        <v>55</v>
      </c>
      <c r="L25" s="8" t="s">
        <v>139</v>
      </c>
      <c r="M25" s="8" t="s">
        <v>57</v>
      </c>
      <c r="N25" s="8" t="s">
        <v>152</v>
      </c>
      <c r="O25" s="8" t="s">
        <v>59</v>
      </c>
      <c r="P25" s="11"/>
    </row>
    <row r="26" spans="1:16" ht="58.05" customHeight="1" x14ac:dyDescent="0.3">
      <c r="A26" s="8" t="s">
        <v>153</v>
      </c>
      <c r="B26" s="8">
        <v>7</v>
      </c>
      <c r="C26" s="8" t="s">
        <v>25</v>
      </c>
      <c r="D26" s="8" t="s">
        <v>154</v>
      </c>
      <c r="E26" s="8" t="s">
        <v>155</v>
      </c>
      <c r="F26" s="9" t="s">
        <v>15</v>
      </c>
      <c r="G26" s="10">
        <v>5</v>
      </c>
      <c r="H26" s="14">
        <v>46292</v>
      </c>
      <c r="I26" s="8" t="s">
        <v>53</v>
      </c>
      <c r="J26" s="8" t="s">
        <v>54</v>
      </c>
      <c r="K26" s="8" t="s">
        <v>55</v>
      </c>
      <c r="L26" s="8" t="s">
        <v>139</v>
      </c>
      <c r="M26" s="8" t="s">
        <v>57</v>
      </c>
      <c r="N26" s="8" t="s">
        <v>156</v>
      </c>
      <c r="O26" s="8" t="s">
        <v>59</v>
      </c>
      <c r="P26" s="11"/>
    </row>
    <row r="27" spans="1:16" ht="58.05" customHeight="1" x14ac:dyDescent="0.3">
      <c r="A27" s="8" t="s">
        <v>157</v>
      </c>
      <c r="B27" s="8">
        <v>8</v>
      </c>
      <c r="C27" s="8" t="s">
        <v>26</v>
      </c>
      <c r="D27" s="8" t="s">
        <v>158</v>
      </c>
      <c r="E27" s="8" t="s">
        <v>159</v>
      </c>
      <c r="F27" s="9" t="s">
        <v>15</v>
      </c>
      <c r="G27" s="10">
        <v>5</v>
      </c>
      <c r="H27" s="14">
        <v>46292</v>
      </c>
      <c r="I27" s="8" t="s">
        <v>53</v>
      </c>
      <c r="J27" s="8" t="s">
        <v>54</v>
      </c>
      <c r="K27" s="8" t="s">
        <v>55</v>
      </c>
      <c r="L27" s="8" t="s">
        <v>160</v>
      </c>
      <c r="M27" s="8" t="s">
        <v>57</v>
      </c>
      <c r="N27" s="8" t="s">
        <v>161</v>
      </c>
      <c r="O27" s="8" t="s">
        <v>59</v>
      </c>
      <c r="P27" s="11"/>
    </row>
    <row r="28" spans="1:16" ht="58.05" customHeight="1" x14ac:dyDescent="0.3">
      <c r="A28" s="8" t="s">
        <v>162</v>
      </c>
      <c r="B28" s="8">
        <v>8</v>
      </c>
      <c r="C28" s="8" t="s">
        <v>26</v>
      </c>
      <c r="D28" s="8" t="s">
        <v>163</v>
      </c>
      <c r="E28" s="8" t="s">
        <v>164</v>
      </c>
      <c r="F28" s="9" t="s">
        <v>15</v>
      </c>
      <c r="G28" s="10">
        <v>8</v>
      </c>
      <c r="H28" s="14">
        <v>46293</v>
      </c>
      <c r="I28" s="8" t="s">
        <v>53</v>
      </c>
      <c r="J28" s="8" t="s">
        <v>54</v>
      </c>
      <c r="K28" s="8" t="s">
        <v>55</v>
      </c>
      <c r="L28" s="8" t="s">
        <v>160</v>
      </c>
      <c r="M28" s="8" t="s">
        <v>57</v>
      </c>
      <c r="N28" s="8" t="s">
        <v>165</v>
      </c>
      <c r="O28" s="8" t="s">
        <v>59</v>
      </c>
      <c r="P28" s="11"/>
    </row>
    <row r="29" spans="1:16" ht="58.05" customHeight="1" x14ac:dyDescent="0.3">
      <c r="A29" s="8" t="s">
        <v>166</v>
      </c>
      <c r="B29" s="8">
        <v>8</v>
      </c>
      <c r="C29" s="8" t="s">
        <v>26</v>
      </c>
      <c r="D29" s="8" t="s">
        <v>167</v>
      </c>
      <c r="E29" s="8" t="s">
        <v>168</v>
      </c>
      <c r="F29" s="9" t="s">
        <v>15</v>
      </c>
      <c r="G29" s="10">
        <v>6</v>
      </c>
      <c r="H29" s="14">
        <v>46293</v>
      </c>
      <c r="I29" s="8" t="s">
        <v>53</v>
      </c>
      <c r="J29" s="8" t="s">
        <v>54</v>
      </c>
      <c r="K29" s="8" t="s">
        <v>55</v>
      </c>
      <c r="L29" s="8" t="s">
        <v>160</v>
      </c>
      <c r="M29" s="8" t="s">
        <v>57</v>
      </c>
      <c r="N29" s="8" t="s">
        <v>169</v>
      </c>
      <c r="O29" s="8" t="s">
        <v>59</v>
      </c>
      <c r="P29" s="11"/>
    </row>
    <row r="30" spans="1:16" ht="58.05" customHeight="1" x14ac:dyDescent="0.3">
      <c r="A30" s="8" t="s">
        <v>170</v>
      </c>
      <c r="B30" s="8">
        <v>8</v>
      </c>
      <c r="C30" s="8" t="s">
        <v>26</v>
      </c>
      <c r="D30" s="8" t="s">
        <v>171</v>
      </c>
      <c r="E30" s="8" t="s">
        <v>108</v>
      </c>
      <c r="F30" s="9" t="s">
        <v>15</v>
      </c>
      <c r="G30" s="10">
        <v>6</v>
      </c>
      <c r="H30" s="14">
        <v>46293</v>
      </c>
      <c r="I30" s="8" t="s">
        <v>53</v>
      </c>
      <c r="J30" s="8" t="s">
        <v>54</v>
      </c>
      <c r="K30" s="8" t="s">
        <v>55</v>
      </c>
      <c r="L30" s="8" t="s">
        <v>160</v>
      </c>
      <c r="M30" s="8" t="s">
        <v>57</v>
      </c>
      <c r="N30" s="8" t="s">
        <v>169</v>
      </c>
      <c r="O30" s="8" t="s">
        <v>59</v>
      </c>
      <c r="P30" s="11"/>
    </row>
    <row r="31" spans="1:16" ht="58.05" customHeight="1" x14ac:dyDescent="0.3">
      <c r="A31" s="8" t="s">
        <v>172</v>
      </c>
      <c r="B31" s="8">
        <v>8</v>
      </c>
      <c r="C31" s="8" t="s">
        <v>26</v>
      </c>
      <c r="D31" s="8" t="s">
        <v>173</v>
      </c>
      <c r="E31" s="8" t="s">
        <v>174</v>
      </c>
      <c r="F31" s="9" t="s">
        <v>15</v>
      </c>
      <c r="G31" s="10">
        <v>6</v>
      </c>
      <c r="H31" s="14">
        <v>46293</v>
      </c>
      <c r="I31" s="8" t="s">
        <v>53</v>
      </c>
      <c r="J31" s="8" t="s">
        <v>54</v>
      </c>
      <c r="K31" s="8" t="s">
        <v>55</v>
      </c>
      <c r="L31" s="8" t="s">
        <v>160</v>
      </c>
      <c r="M31" s="8" t="s">
        <v>57</v>
      </c>
      <c r="N31" s="8" t="s">
        <v>175</v>
      </c>
      <c r="O31" s="8" t="s">
        <v>59</v>
      </c>
      <c r="P31" s="11"/>
    </row>
    <row r="32" spans="1:16" ht="58.05" customHeight="1" x14ac:dyDescent="0.3">
      <c r="A32" s="8" t="s">
        <v>176</v>
      </c>
      <c r="B32" s="8">
        <v>8</v>
      </c>
      <c r="C32" s="8" t="s">
        <v>26</v>
      </c>
      <c r="D32" s="8" t="s">
        <v>177</v>
      </c>
      <c r="E32" s="8" t="s">
        <v>151</v>
      </c>
      <c r="F32" s="9" t="s">
        <v>15</v>
      </c>
      <c r="G32" s="10">
        <v>8</v>
      </c>
      <c r="H32" s="14">
        <v>46293</v>
      </c>
      <c r="I32" s="8" t="s">
        <v>53</v>
      </c>
      <c r="J32" s="8" t="s">
        <v>54</v>
      </c>
      <c r="K32" s="8" t="s">
        <v>55</v>
      </c>
      <c r="L32" s="8" t="s">
        <v>160</v>
      </c>
      <c r="M32" s="8" t="s">
        <v>57</v>
      </c>
      <c r="N32" s="8" t="s">
        <v>178</v>
      </c>
      <c r="O32" s="8" t="s">
        <v>59</v>
      </c>
      <c r="P32" s="11"/>
    </row>
    <row r="33" spans="1:16" ht="58.05" customHeight="1" x14ac:dyDescent="0.3">
      <c r="A33" s="8" t="s">
        <v>179</v>
      </c>
      <c r="B33" s="8">
        <v>8</v>
      </c>
      <c r="C33" s="8" t="s">
        <v>26</v>
      </c>
      <c r="D33" s="8" t="s">
        <v>180</v>
      </c>
      <c r="E33" s="8" t="s">
        <v>110</v>
      </c>
      <c r="F33" s="9" t="s">
        <v>15</v>
      </c>
      <c r="G33" s="10">
        <v>5</v>
      </c>
      <c r="H33" s="14">
        <v>46293</v>
      </c>
      <c r="I33" s="8" t="s">
        <v>53</v>
      </c>
      <c r="J33" s="8" t="s">
        <v>54</v>
      </c>
      <c r="K33" s="8" t="s">
        <v>55</v>
      </c>
      <c r="L33" s="8" t="s">
        <v>160</v>
      </c>
      <c r="M33" s="8" t="s">
        <v>57</v>
      </c>
      <c r="N33" s="8" t="s">
        <v>169</v>
      </c>
      <c r="O33" s="8" t="s">
        <v>59</v>
      </c>
      <c r="P33" s="11"/>
    </row>
    <row r="34" spans="1:16" ht="58.05" customHeight="1" x14ac:dyDescent="0.3">
      <c r="A34" s="8" t="s">
        <v>181</v>
      </c>
      <c r="B34" s="8">
        <v>8</v>
      </c>
      <c r="C34" s="8" t="s">
        <v>26</v>
      </c>
      <c r="D34" s="8" t="s">
        <v>182</v>
      </c>
      <c r="E34" s="8" t="s">
        <v>99</v>
      </c>
      <c r="F34" s="9" t="s">
        <v>15</v>
      </c>
      <c r="G34" s="10">
        <v>5</v>
      </c>
      <c r="H34" s="14">
        <v>46293</v>
      </c>
      <c r="I34" s="8" t="s">
        <v>53</v>
      </c>
      <c r="J34" s="8" t="s">
        <v>54</v>
      </c>
      <c r="K34" s="8" t="s">
        <v>55</v>
      </c>
      <c r="L34" s="8" t="s">
        <v>160</v>
      </c>
      <c r="M34" s="8" t="s">
        <v>57</v>
      </c>
      <c r="N34" s="8" t="s">
        <v>183</v>
      </c>
      <c r="O34" s="8" t="s">
        <v>59</v>
      </c>
      <c r="P34" s="11"/>
    </row>
    <row r="35" spans="1:16" ht="58.05" customHeight="1" x14ac:dyDescent="0.3">
      <c r="A35" s="8" t="s">
        <v>184</v>
      </c>
      <c r="B35" s="8">
        <v>8</v>
      </c>
      <c r="C35" s="8" t="s">
        <v>26</v>
      </c>
      <c r="D35" s="8" t="s">
        <v>185</v>
      </c>
      <c r="E35" s="8" t="s">
        <v>186</v>
      </c>
      <c r="F35" s="9" t="s">
        <v>15</v>
      </c>
      <c r="G35" s="10">
        <v>5</v>
      </c>
      <c r="H35" s="14">
        <v>46293</v>
      </c>
      <c r="I35" s="8" t="s">
        <v>53</v>
      </c>
      <c r="J35" s="8" t="s">
        <v>54</v>
      </c>
      <c r="K35" s="8" t="s">
        <v>55</v>
      </c>
      <c r="L35" s="8" t="s">
        <v>160</v>
      </c>
      <c r="M35" s="8" t="s">
        <v>57</v>
      </c>
      <c r="N35" s="8" t="s">
        <v>187</v>
      </c>
      <c r="O35" s="8" t="s">
        <v>59</v>
      </c>
      <c r="P35" s="11"/>
    </row>
    <row r="36" spans="1:16" ht="58.05" customHeight="1" x14ac:dyDescent="0.3">
      <c r="A36" s="8" t="s">
        <v>188</v>
      </c>
      <c r="B36" s="8">
        <v>8</v>
      </c>
      <c r="C36" s="8" t="s">
        <v>26</v>
      </c>
      <c r="D36" s="8" t="s">
        <v>189</v>
      </c>
      <c r="E36" s="8" t="s">
        <v>134</v>
      </c>
      <c r="F36" s="9" t="s">
        <v>15</v>
      </c>
      <c r="G36" s="10">
        <v>4</v>
      </c>
      <c r="H36" s="14">
        <v>46294</v>
      </c>
      <c r="I36" s="8" t="s">
        <v>53</v>
      </c>
      <c r="J36" s="8" t="s">
        <v>54</v>
      </c>
      <c r="K36" s="8" t="s">
        <v>55</v>
      </c>
      <c r="L36" s="8" t="s">
        <v>160</v>
      </c>
      <c r="M36" s="8" t="s">
        <v>57</v>
      </c>
      <c r="N36" s="8" t="s">
        <v>190</v>
      </c>
      <c r="O36" s="8" t="s">
        <v>59</v>
      </c>
      <c r="P36" s="11"/>
    </row>
    <row r="37" spans="1:16" ht="58.05" customHeight="1" x14ac:dyDescent="0.3">
      <c r="A37" s="8" t="s">
        <v>191</v>
      </c>
      <c r="B37" s="8">
        <v>8</v>
      </c>
      <c r="C37" s="8" t="s">
        <v>26</v>
      </c>
      <c r="D37" s="8" t="s">
        <v>192</v>
      </c>
      <c r="E37" s="8" t="s">
        <v>193</v>
      </c>
      <c r="F37" s="9" t="s">
        <v>15</v>
      </c>
      <c r="G37" s="10">
        <v>6</v>
      </c>
      <c r="H37" s="14">
        <v>46294</v>
      </c>
      <c r="I37" s="8" t="s">
        <v>53</v>
      </c>
      <c r="J37" s="8" t="s">
        <v>54</v>
      </c>
      <c r="K37" s="8" t="s">
        <v>55</v>
      </c>
      <c r="L37" s="8" t="s">
        <v>160</v>
      </c>
      <c r="M37" s="8" t="s">
        <v>57</v>
      </c>
      <c r="N37" s="8" t="s">
        <v>194</v>
      </c>
      <c r="O37" s="8" t="s">
        <v>59</v>
      </c>
      <c r="P37" s="11"/>
    </row>
    <row r="38" spans="1:16" ht="58.05" customHeight="1" x14ac:dyDescent="0.3">
      <c r="A38" s="8" t="s">
        <v>195</v>
      </c>
      <c r="B38" s="8">
        <v>9</v>
      </c>
      <c r="C38" s="8" t="s">
        <v>27</v>
      </c>
      <c r="D38" s="8" t="s">
        <v>196</v>
      </c>
      <c r="E38" s="8" t="s">
        <v>197</v>
      </c>
      <c r="F38" s="9" t="s">
        <v>15</v>
      </c>
      <c r="G38" s="10">
        <v>6</v>
      </c>
      <c r="H38" s="14">
        <v>46294</v>
      </c>
      <c r="I38" s="8" t="s">
        <v>53</v>
      </c>
      <c r="J38" s="8" t="s">
        <v>54</v>
      </c>
      <c r="K38" s="8" t="s">
        <v>55</v>
      </c>
      <c r="L38" s="8" t="s">
        <v>198</v>
      </c>
      <c r="M38" s="8" t="s">
        <v>57</v>
      </c>
      <c r="N38" s="8" t="s">
        <v>199</v>
      </c>
      <c r="O38" s="8" t="s">
        <v>59</v>
      </c>
      <c r="P38" s="11"/>
    </row>
    <row r="39" spans="1:16" ht="58.05" customHeight="1" x14ac:dyDescent="0.3">
      <c r="A39" s="8" t="s">
        <v>200</v>
      </c>
      <c r="B39" s="8">
        <v>9</v>
      </c>
      <c r="C39" s="8" t="s">
        <v>27</v>
      </c>
      <c r="D39" s="8" t="s">
        <v>201</v>
      </c>
      <c r="E39" s="8" t="s">
        <v>197</v>
      </c>
      <c r="F39" s="9" t="s">
        <v>15</v>
      </c>
      <c r="G39" s="10">
        <v>6</v>
      </c>
      <c r="H39" s="14">
        <v>46294</v>
      </c>
      <c r="I39" s="8" t="s">
        <v>53</v>
      </c>
      <c r="J39" s="8" t="s">
        <v>54</v>
      </c>
      <c r="K39" s="8" t="s">
        <v>55</v>
      </c>
      <c r="L39" s="8" t="s">
        <v>198</v>
      </c>
      <c r="M39" s="8" t="s">
        <v>57</v>
      </c>
      <c r="N39" s="8" t="s">
        <v>202</v>
      </c>
      <c r="O39" s="8" t="s">
        <v>59</v>
      </c>
      <c r="P39" s="11"/>
    </row>
    <row r="40" spans="1:16" ht="58.05" customHeight="1" x14ac:dyDescent="0.3">
      <c r="A40" s="8" t="s">
        <v>203</v>
      </c>
      <c r="B40" s="8">
        <v>9</v>
      </c>
      <c r="C40" s="8" t="s">
        <v>27</v>
      </c>
      <c r="D40" s="8" t="s">
        <v>204</v>
      </c>
      <c r="E40" s="8" t="s">
        <v>205</v>
      </c>
      <c r="F40" s="9" t="s">
        <v>15</v>
      </c>
      <c r="G40" s="10">
        <v>5</v>
      </c>
      <c r="H40" s="14">
        <v>46294</v>
      </c>
      <c r="I40" s="8" t="s">
        <v>53</v>
      </c>
      <c r="J40" s="8" t="s">
        <v>54</v>
      </c>
      <c r="K40" s="8" t="s">
        <v>55</v>
      </c>
      <c r="L40" s="8" t="s">
        <v>198</v>
      </c>
      <c r="M40" s="8" t="s">
        <v>57</v>
      </c>
      <c r="N40" s="8" t="s">
        <v>206</v>
      </c>
      <c r="O40" s="8" t="s">
        <v>59</v>
      </c>
      <c r="P40" s="11"/>
    </row>
    <row r="41" spans="1:16" ht="58.05" customHeight="1" x14ac:dyDescent="0.3">
      <c r="A41" s="8" t="s">
        <v>207</v>
      </c>
      <c r="B41" s="8">
        <v>9</v>
      </c>
      <c r="C41" s="8" t="s">
        <v>27</v>
      </c>
      <c r="D41" s="8" t="s">
        <v>208</v>
      </c>
      <c r="E41" s="8" t="s">
        <v>209</v>
      </c>
      <c r="F41" s="9" t="s">
        <v>15</v>
      </c>
      <c r="G41" s="10">
        <v>5</v>
      </c>
      <c r="H41" s="14">
        <v>46294</v>
      </c>
      <c r="I41" s="8" t="s">
        <v>53</v>
      </c>
      <c r="J41" s="8" t="s">
        <v>54</v>
      </c>
      <c r="K41" s="8" t="s">
        <v>55</v>
      </c>
      <c r="L41" s="8" t="s">
        <v>198</v>
      </c>
      <c r="M41" s="8" t="s">
        <v>57</v>
      </c>
      <c r="N41" s="8" t="s">
        <v>210</v>
      </c>
      <c r="O41" s="8" t="s">
        <v>59</v>
      </c>
      <c r="P41" s="11"/>
    </row>
    <row r="42" spans="1:16" ht="58.05" customHeight="1" x14ac:dyDescent="0.3">
      <c r="A42" s="8" t="s">
        <v>211</v>
      </c>
      <c r="B42" s="8">
        <v>9</v>
      </c>
      <c r="C42" s="8" t="s">
        <v>27</v>
      </c>
      <c r="D42" s="8" t="s">
        <v>212</v>
      </c>
      <c r="E42" s="8" t="s">
        <v>28</v>
      </c>
      <c r="F42" s="9" t="s">
        <v>15</v>
      </c>
      <c r="G42" s="10">
        <v>4</v>
      </c>
      <c r="H42" s="14">
        <v>46294</v>
      </c>
      <c r="I42" s="8" t="s">
        <v>53</v>
      </c>
      <c r="J42" s="8" t="s">
        <v>54</v>
      </c>
      <c r="K42" s="8" t="s">
        <v>55</v>
      </c>
      <c r="L42" s="8" t="s">
        <v>198</v>
      </c>
      <c r="M42" s="8" t="s">
        <v>213</v>
      </c>
      <c r="N42" s="8" t="s">
        <v>214</v>
      </c>
      <c r="O42" s="8" t="s">
        <v>59</v>
      </c>
      <c r="P42" s="11"/>
    </row>
    <row r="43" spans="1:16" ht="58.05" customHeight="1" x14ac:dyDescent="0.3">
      <c r="A43" s="8" t="s">
        <v>215</v>
      </c>
      <c r="B43" s="8">
        <v>9</v>
      </c>
      <c r="C43" s="8" t="s">
        <v>27</v>
      </c>
      <c r="D43" s="8" t="s">
        <v>216</v>
      </c>
      <c r="E43" s="8" t="s">
        <v>66</v>
      </c>
      <c r="F43" s="9" t="s">
        <v>15</v>
      </c>
      <c r="G43" s="10">
        <v>4</v>
      </c>
      <c r="H43" s="14">
        <v>46294</v>
      </c>
      <c r="I43" s="8" t="s">
        <v>53</v>
      </c>
      <c r="J43" s="8" t="s">
        <v>54</v>
      </c>
      <c r="K43" s="8" t="s">
        <v>55</v>
      </c>
      <c r="L43" s="8" t="s">
        <v>198</v>
      </c>
      <c r="M43" s="8" t="s">
        <v>217</v>
      </c>
      <c r="N43" s="8" t="s">
        <v>218</v>
      </c>
      <c r="O43" s="8" t="s">
        <v>59</v>
      </c>
      <c r="P43" s="11"/>
    </row>
    <row r="44" spans="1:16" ht="58.05" customHeight="1" x14ac:dyDescent="0.3">
      <c r="A44" s="8" t="s">
        <v>219</v>
      </c>
      <c r="B44" s="8">
        <v>9</v>
      </c>
      <c r="C44" s="8" t="s">
        <v>27</v>
      </c>
      <c r="D44" s="8" t="s">
        <v>220</v>
      </c>
      <c r="E44" s="8" t="s">
        <v>221</v>
      </c>
      <c r="F44" s="9" t="s">
        <v>15</v>
      </c>
      <c r="G44" s="10">
        <v>5</v>
      </c>
      <c r="H44" s="14">
        <v>46295</v>
      </c>
      <c r="I44" s="8" t="s">
        <v>53</v>
      </c>
      <c r="J44" s="8" t="s">
        <v>54</v>
      </c>
      <c r="K44" s="8" t="s">
        <v>55</v>
      </c>
      <c r="L44" s="8" t="s">
        <v>198</v>
      </c>
      <c r="M44" s="8" t="s">
        <v>57</v>
      </c>
      <c r="N44" s="8" t="s">
        <v>222</v>
      </c>
      <c r="O44" s="8" t="s">
        <v>59</v>
      </c>
      <c r="P44" s="11"/>
    </row>
    <row r="45" spans="1:16" ht="58.05" customHeight="1" x14ac:dyDescent="0.3">
      <c r="A45" s="8" t="s">
        <v>223</v>
      </c>
      <c r="B45" s="8">
        <v>10</v>
      </c>
      <c r="C45" s="8" t="s">
        <v>28</v>
      </c>
      <c r="D45" s="8" t="s">
        <v>224</v>
      </c>
      <c r="E45" s="8" t="s">
        <v>225</v>
      </c>
      <c r="F45" s="9" t="s">
        <v>15</v>
      </c>
      <c r="G45" s="10">
        <v>6</v>
      </c>
      <c r="H45" s="14">
        <v>46295</v>
      </c>
      <c r="I45" s="8" t="s">
        <v>53</v>
      </c>
      <c r="J45" s="8" t="s">
        <v>54</v>
      </c>
      <c r="K45" s="8" t="s">
        <v>55</v>
      </c>
      <c r="L45" s="8" t="s">
        <v>226</v>
      </c>
      <c r="M45" s="8" t="s">
        <v>227</v>
      </c>
      <c r="N45" s="8" t="s">
        <v>228</v>
      </c>
      <c r="O45" s="8" t="s">
        <v>59</v>
      </c>
      <c r="P45" s="11"/>
    </row>
    <row r="46" spans="1:16" ht="58.05" customHeight="1" x14ac:dyDescent="0.3">
      <c r="A46" s="8" t="s">
        <v>229</v>
      </c>
      <c r="B46" s="8">
        <v>10</v>
      </c>
      <c r="C46" s="8" t="s">
        <v>28</v>
      </c>
      <c r="D46" s="8" t="s">
        <v>230</v>
      </c>
      <c r="E46" s="8" t="s">
        <v>231</v>
      </c>
      <c r="F46" s="9" t="s">
        <v>15</v>
      </c>
      <c r="G46" s="10">
        <v>3</v>
      </c>
      <c r="H46" s="14">
        <v>46295</v>
      </c>
      <c r="I46" s="8" t="s">
        <v>53</v>
      </c>
      <c r="J46" s="8" t="s">
        <v>54</v>
      </c>
      <c r="K46" s="8" t="s">
        <v>55</v>
      </c>
      <c r="L46" s="8" t="s">
        <v>226</v>
      </c>
      <c r="M46" s="8" t="s">
        <v>232</v>
      </c>
      <c r="N46" s="8" t="s">
        <v>233</v>
      </c>
      <c r="O46" s="8" t="s">
        <v>59</v>
      </c>
      <c r="P46" s="11"/>
    </row>
    <row r="47" spans="1:16" ht="58.05" customHeight="1" x14ac:dyDescent="0.3">
      <c r="A47" s="8" t="s">
        <v>234</v>
      </c>
      <c r="B47" s="8">
        <v>11</v>
      </c>
      <c r="C47" s="8" t="s">
        <v>29</v>
      </c>
      <c r="D47" s="8" t="s">
        <v>235</v>
      </c>
      <c r="E47" s="8" t="s">
        <v>236</v>
      </c>
      <c r="F47" s="9" t="s">
        <v>18</v>
      </c>
      <c r="G47" s="10">
        <v>5</v>
      </c>
      <c r="H47" s="14">
        <v>46295</v>
      </c>
      <c r="I47" s="8" t="s">
        <v>53</v>
      </c>
      <c r="J47" s="8" t="s">
        <v>54</v>
      </c>
      <c r="K47" s="8" t="s">
        <v>55</v>
      </c>
      <c r="L47" s="8" t="s">
        <v>237</v>
      </c>
      <c r="M47" s="8" t="s">
        <v>57</v>
      </c>
      <c r="N47" s="8" t="s">
        <v>238</v>
      </c>
      <c r="O47" s="8" t="s">
        <v>59</v>
      </c>
      <c r="P47" s="11"/>
    </row>
    <row r="48" spans="1:16" ht="58.05" customHeight="1" x14ac:dyDescent="0.3">
      <c r="A48" s="8" t="s">
        <v>239</v>
      </c>
      <c r="B48" s="8">
        <v>11</v>
      </c>
      <c r="C48" s="8" t="s">
        <v>29</v>
      </c>
      <c r="D48" s="8" t="s">
        <v>240</v>
      </c>
      <c r="E48" s="8" t="s">
        <v>236</v>
      </c>
      <c r="F48" s="9" t="s">
        <v>18</v>
      </c>
      <c r="G48" s="10">
        <v>4</v>
      </c>
      <c r="H48" s="14">
        <v>46295</v>
      </c>
      <c r="I48" s="8" t="s">
        <v>53</v>
      </c>
      <c r="J48" s="8" t="s">
        <v>54</v>
      </c>
      <c r="K48" s="8" t="s">
        <v>55</v>
      </c>
      <c r="L48" s="8" t="s">
        <v>237</v>
      </c>
      <c r="M48" s="8" t="s">
        <v>57</v>
      </c>
      <c r="N48" s="8" t="s">
        <v>241</v>
      </c>
      <c r="O48" s="8" t="s">
        <v>59</v>
      </c>
      <c r="P48" s="11"/>
    </row>
    <row r="49" spans="1:16" ht="58.05" customHeight="1" x14ac:dyDescent="0.3">
      <c r="A49" s="8" t="s">
        <v>242</v>
      </c>
      <c r="B49" s="8">
        <v>11</v>
      </c>
      <c r="C49" s="8" t="s">
        <v>29</v>
      </c>
      <c r="D49" s="8" t="s">
        <v>243</v>
      </c>
      <c r="E49" s="8" t="s">
        <v>236</v>
      </c>
      <c r="F49" s="9" t="s">
        <v>18</v>
      </c>
      <c r="G49" s="10">
        <v>5</v>
      </c>
      <c r="H49" s="14">
        <v>46295</v>
      </c>
      <c r="I49" s="8" t="s">
        <v>53</v>
      </c>
      <c r="J49" s="8" t="s">
        <v>54</v>
      </c>
      <c r="K49" s="8" t="s">
        <v>55</v>
      </c>
      <c r="L49" s="8" t="s">
        <v>237</v>
      </c>
      <c r="M49" s="8" t="s">
        <v>57</v>
      </c>
      <c r="N49" s="8" t="s">
        <v>238</v>
      </c>
      <c r="O49" s="8" t="s">
        <v>59</v>
      </c>
      <c r="P49" s="11"/>
    </row>
    <row r="50" spans="1:16" ht="58.05" customHeight="1" x14ac:dyDescent="0.3">
      <c r="A50" s="8" t="s">
        <v>244</v>
      </c>
      <c r="B50" s="8">
        <v>11</v>
      </c>
      <c r="C50" s="8" t="s">
        <v>29</v>
      </c>
      <c r="D50" s="8" t="s">
        <v>245</v>
      </c>
      <c r="E50" s="8" t="s">
        <v>236</v>
      </c>
      <c r="F50" s="9" t="s">
        <v>18</v>
      </c>
      <c r="G50" s="10">
        <v>7</v>
      </c>
      <c r="H50" s="14">
        <v>46295</v>
      </c>
      <c r="I50" s="8" t="s">
        <v>53</v>
      </c>
      <c r="J50" s="8" t="s">
        <v>54</v>
      </c>
      <c r="K50" s="8" t="s">
        <v>55</v>
      </c>
      <c r="L50" s="8" t="s">
        <v>237</v>
      </c>
      <c r="M50" s="8" t="s">
        <v>57</v>
      </c>
      <c r="N50" s="8" t="s">
        <v>238</v>
      </c>
      <c r="O50" s="8" t="s">
        <v>59</v>
      </c>
      <c r="P50" s="11"/>
    </row>
    <row r="51" spans="1:16" ht="58.05" customHeight="1" x14ac:dyDescent="0.3">
      <c r="A51" s="8" t="s">
        <v>246</v>
      </c>
      <c r="B51" s="8">
        <v>11</v>
      </c>
      <c r="C51" s="8" t="s">
        <v>29</v>
      </c>
      <c r="D51" s="8" t="s">
        <v>247</v>
      </c>
      <c r="E51" s="8" t="s">
        <v>236</v>
      </c>
      <c r="F51" s="9" t="s">
        <v>18</v>
      </c>
      <c r="G51" s="10">
        <v>3</v>
      </c>
      <c r="H51" s="14">
        <v>46295</v>
      </c>
      <c r="I51" s="8" t="s">
        <v>53</v>
      </c>
      <c r="J51" s="8" t="s">
        <v>54</v>
      </c>
      <c r="K51" s="8" t="s">
        <v>55</v>
      </c>
      <c r="L51" s="8" t="s">
        <v>237</v>
      </c>
      <c r="M51" s="8" t="s">
        <v>248</v>
      </c>
      <c r="N51" s="8" t="s">
        <v>249</v>
      </c>
      <c r="O51" s="8" t="s">
        <v>59</v>
      </c>
      <c r="P51" s="11"/>
    </row>
    <row r="52" spans="1:16" ht="58.05" customHeight="1" x14ac:dyDescent="0.3">
      <c r="A52" s="8" t="s">
        <v>250</v>
      </c>
      <c r="B52" s="8">
        <v>11</v>
      </c>
      <c r="C52" s="8" t="s">
        <v>29</v>
      </c>
      <c r="D52" s="8" t="s">
        <v>251</v>
      </c>
      <c r="E52" s="8" t="s">
        <v>252</v>
      </c>
      <c r="F52" s="9" t="s">
        <v>18</v>
      </c>
      <c r="G52" s="10">
        <v>7</v>
      </c>
      <c r="H52" s="14">
        <v>46295</v>
      </c>
      <c r="I52" s="8" t="s">
        <v>53</v>
      </c>
      <c r="J52" s="8" t="s">
        <v>54</v>
      </c>
      <c r="K52" s="8" t="s">
        <v>55</v>
      </c>
      <c r="L52" s="8" t="s">
        <v>237</v>
      </c>
      <c r="M52" s="8" t="s">
        <v>57</v>
      </c>
      <c r="N52" s="8" t="s">
        <v>253</v>
      </c>
      <c r="O52" s="8" t="s">
        <v>59</v>
      </c>
      <c r="P52" s="11"/>
    </row>
    <row r="53" spans="1:16" ht="58.05" customHeight="1" x14ac:dyDescent="0.3">
      <c r="A53" s="8" t="s">
        <v>254</v>
      </c>
      <c r="B53" s="8">
        <v>11</v>
      </c>
      <c r="C53" s="8" t="s">
        <v>29</v>
      </c>
      <c r="D53" s="8" t="s">
        <v>255</v>
      </c>
      <c r="E53" s="8" t="s">
        <v>256</v>
      </c>
      <c r="F53" s="9" t="s">
        <v>18</v>
      </c>
      <c r="G53" s="10">
        <v>5</v>
      </c>
      <c r="H53" s="14">
        <v>46296</v>
      </c>
      <c r="I53" s="8" t="s">
        <v>53</v>
      </c>
      <c r="J53" s="8" t="s">
        <v>54</v>
      </c>
      <c r="K53" s="8" t="s">
        <v>55</v>
      </c>
      <c r="L53" s="8" t="s">
        <v>237</v>
      </c>
      <c r="M53" s="8" t="s">
        <v>57</v>
      </c>
      <c r="N53" s="8" t="s">
        <v>257</v>
      </c>
      <c r="O53" s="8" t="s">
        <v>59</v>
      </c>
      <c r="P53" s="11"/>
    </row>
    <row r="54" spans="1:16" ht="58.05" customHeight="1" x14ac:dyDescent="0.3">
      <c r="A54" s="8" t="s">
        <v>258</v>
      </c>
      <c r="B54" s="8">
        <v>11</v>
      </c>
      <c r="C54" s="8" t="s">
        <v>29</v>
      </c>
      <c r="D54" s="8" t="s">
        <v>259</v>
      </c>
      <c r="E54" s="8" t="s">
        <v>256</v>
      </c>
      <c r="F54" s="9" t="s">
        <v>18</v>
      </c>
      <c r="G54" s="10">
        <v>5</v>
      </c>
      <c r="H54" s="14">
        <v>46296</v>
      </c>
      <c r="I54" s="8" t="s">
        <v>53</v>
      </c>
      <c r="J54" s="8" t="s">
        <v>54</v>
      </c>
      <c r="K54" s="8" t="s">
        <v>55</v>
      </c>
      <c r="L54" s="8" t="s">
        <v>237</v>
      </c>
      <c r="M54" s="8" t="s">
        <v>57</v>
      </c>
      <c r="N54" s="8" t="s">
        <v>260</v>
      </c>
      <c r="O54" s="8" t="s">
        <v>59</v>
      </c>
      <c r="P54" s="11"/>
    </row>
    <row r="55" spans="1:16" ht="58.05" customHeight="1" x14ac:dyDescent="0.3">
      <c r="A55" s="8" t="s">
        <v>261</v>
      </c>
      <c r="B55" s="8">
        <v>11</v>
      </c>
      <c r="C55" s="8" t="s">
        <v>29</v>
      </c>
      <c r="D55" s="8" t="s">
        <v>262</v>
      </c>
      <c r="E55" s="8" t="s">
        <v>263</v>
      </c>
      <c r="F55" s="9" t="s">
        <v>18</v>
      </c>
      <c r="G55" s="10">
        <v>4</v>
      </c>
      <c r="H55" s="14">
        <v>46296</v>
      </c>
      <c r="I55" s="8" t="s">
        <v>53</v>
      </c>
      <c r="J55" s="8" t="s">
        <v>54</v>
      </c>
      <c r="K55" s="8" t="s">
        <v>55</v>
      </c>
      <c r="L55" s="8" t="s">
        <v>237</v>
      </c>
      <c r="M55" s="8" t="s">
        <v>57</v>
      </c>
      <c r="N55" s="8" t="s">
        <v>260</v>
      </c>
      <c r="O55" s="8" t="s">
        <v>59</v>
      </c>
      <c r="P55" s="11"/>
    </row>
    <row r="56" spans="1:16" ht="58.05" customHeight="1" x14ac:dyDescent="0.3">
      <c r="A56" s="8" t="s">
        <v>264</v>
      </c>
      <c r="B56" s="8">
        <v>11</v>
      </c>
      <c r="C56" s="8" t="s">
        <v>29</v>
      </c>
      <c r="D56" s="8" t="s">
        <v>265</v>
      </c>
      <c r="E56" s="8" t="s">
        <v>193</v>
      </c>
      <c r="F56" s="9" t="s">
        <v>18</v>
      </c>
      <c r="G56" s="10">
        <v>5</v>
      </c>
      <c r="H56" s="14">
        <v>46296</v>
      </c>
      <c r="I56" s="8" t="s">
        <v>53</v>
      </c>
      <c r="J56" s="8" t="s">
        <v>54</v>
      </c>
      <c r="K56" s="8" t="s">
        <v>55</v>
      </c>
      <c r="L56" s="8" t="s">
        <v>237</v>
      </c>
      <c r="M56" s="8" t="s">
        <v>266</v>
      </c>
      <c r="N56" s="8" t="s">
        <v>267</v>
      </c>
      <c r="O56" s="8" t="s">
        <v>59</v>
      </c>
      <c r="P56" s="11"/>
    </row>
    <row r="57" spans="1:16" ht="58.05" customHeight="1" x14ac:dyDescent="0.3">
      <c r="A57" s="8" t="s">
        <v>268</v>
      </c>
      <c r="B57" s="8">
        <v>12</v>
      </c>
      <c r="C57" s="8" t="s">
        <v>30</v>
      </c>
      <c r="D57" s="8" t="s">
        <v>269</v>
      </c>
      <c r="E57" s="8" t="s">
        <v>270</v>
      </c>
      <c r="F57" s="9" t="s">
        <v>18</v>
      </c>
      <c r="G57" s="10">
        <v>6</v>
      </c>
      <c r="H57" s="14">
        <v>46296</v>
      </c>
      <c r="I57" s="8" t="s">
        <v>53</v>
      </c>
      <c r="J57" s="8" t="s">
        <v>54</v>
      </c>
      <c r="K57" s="8" t="s">
        <v>55</v>
      </c>
      <c r="L57" s="8" t="s">
        <v>271</v>
      </c>
      <c r="M57" s="8" t="s">
        <v>57</v>
      </c>
      <c r="N57" s="8" t="s">
        <v>272</v>
      </c>
      <c r="O57" s="8" t="s">
        <v>59</v>
      </c>
      <c r="P57" s="11"/>
    </row>
    <row r="58" spans="1:16" ht="58.05" customHeight="1" x14ac:dyDescent="0.3">
      <c r="A58" s="8" t="s">
        <v>273</v>
      </c>
      <c r="B58" s="8">
        <v>12</v>
      </c>
      <c r="C58" s="8" t="s">
        <v>30</v>
      </c>
      <c r="D58" s="8" t="s">
        <v>274</v>
      </c>
      <c r="E58" s="8" t="s">
        <v>275</v>
      </c>
      <c r="F58" s="9" t="s">
        <v>18</v>
      </c>
      <c r="G58" s="10">
        <v>7</v>
      </c>
      <c r="H58" s="14">
        <v>46296</v>
      </c>
      <c r="I58" s="8" t="s">
        <v>53</v>
      </c>
      <c r="J58" s="8" t="s">
        <v>54</v>
      </c>
      <c r="K58" s="8" t="s">
        <v>55</v>
      </c>
      <c r="L58" s="8" t="s">
        <v>271</v>
      </c>
      <c r="M58" s="8" t="s">
        <v>57</v>
      </c>
      <c r="N58" s="8" t="s">
        <v>276</v>
      </c>
      <c r="O58" s="8" t="s">
        <v>59</v>
      </c>
      <c r="P58" s="11"/>
    </row>
    <row r="59" spans="1:16" ht="58.05" customHeight="1" x14ac:dyDescent="0.3">
      <c r="A59" s="8" t="s">
        <v>277</v>
      </c>
      <c r="B59" s="8">
        <v>12</v>
      </c>
      <c r="C59" s="8" t="s">
        <v>30</v>
      </c>
      <c r="D59" s="8" t="s">
        <v>278</v>
      </c>
      <c r="E59" s="8" t="s">
        <v>279</v>
      </c>
      <c r="F59" s="9" t="s">
        <v>18</v>
      </c>
      <c r="G59" s="10">
        <v>8</v>
      </c>
      <c r="H59" s="14">
        <v>46296</v>
      </c>
      <c r="I59" s="8" t="s">
        <v>53</v>
      </c>
      <c r="J59" s="8" t="s">
        <v>54</v>
      </c>
      <c r="K59" s="8" t="s">
        <v>55</v>
      </c>
      <c r="L59" s="8" t="s">
        <v>271</v>
      </c>
      <c r="M59" s="8" t="s">
        <v>57</v>
      </c>
      <c r="N59" s="8" t="s">
        <v>280</v>
      </c>
      <c r="O59" s="8" t="s">
        <v>59</v>
      </c>
      <c r="P59" s="11"/>
    </row>
    <row r="60" spans="1:16" ht="58.05" customHeight="1" x14ac:dyDescent="0.3">
      <c r="A60" s="8" t="s">
        <v>281</v>
      </c>
      <c r="B60" s="8">
        <v>12</v>
      </c>
      <c r="C60" s="8" t="s">
        <v>30</v>
      </c>
      <c r="D60" s="8" t="s">
        <v>282</v>
      </c>
      <c r="E60" s="8" t="s">
        <v>283</v>
      </c>
      <c r="F60" s="9" t="s">
        <v>18</v>
      </c>
      <c r="G60" s="10">
        <v>8</v>
      </c>
      <c r="H60" s="14">
        <v>46296</v>
      </c>
      <c r="I60" s="8" t="s">
        <v>53</v>
      </c>
      <c r="J60" s="8" t="s">
        <v>54</v>
      </c>
      <c r="K60" s="8" t="s">
        <v>55</v>
      </c>
      <c r="L60" s="8" t="s">
        <v>271</v>
      </c>
      <c r="M60" s="8" t="s">
        <v>57</v>
      </c>
      <c r="N60" s="8" t="s">
        <v>284</v>
      </c>
      <c r="O60" s="8" t="s">
        <v>59</v>
      </c>
      <c r="P60" s="11"/>
    </row>
    <row r="61" spans="1:16" ht="58.05" customHeight="1" x14ac:dyDescent="0.3">
      <c r="A61" s="8" t="s">
        <v>285</v>
      </c>
      <c r="B61" s="8">
        <v>12</v>
      </c>
      <c r="C61" s="8" t="s">
        <v>30</v>
      </c>
      <c r="D61" s="8" t="s">
        <v>286</v>
      </c>
      <c r="E61" s="8" t="s">
        <v>287</v>
      </c>
      <c r="F61" s="9" t="s">
        <v>18</v>
      </c>
      <c r="G61" s="10">
        <v>8</v>
      </c>
      <c r="H61" s="14">
        <v>46297</v>
      </c>
      <c r="I61" s="8" t="s">
        <v>53</v>
      </c>
      <c r="J61" s="8" t="s">
        <v>54</v>
      </c>
      <c r="K61" s="8" t="s">
        <v>55</v>
      </c>
      <c r="L61" s="8" t="s">
        <v>271</v>
      </c>
      <c r="M61" s="8" t="s">
        <v>57</v>
      </c>
      <c r="N61" s="8" t="s">
        <v>288</v>
      </c>
      <c r="O61" s="8" t="s">
        <v>59</v>
      </c>
      <c r="P61" s="11"/>
    </row>
    <row r="62" spans="1:16" ht="58.05" customHeight="1" x14ac:dyDescent="0.3">
      <c r="A62" s="8" t="s">
        <v>289</v>
      </c>
      <c r="B62" s="8">
        <v>12</v>
      </c>
      <c r="C62" s="8" t="s">
        <v>30</v>
      </c>
      <c r="D62" s="8" t="s">
        <v>290</v>
      </c>
      <c r="E62" s="8" t="s">
        <v>291</v>
      </c>
      <c r="F62" s="9" t="s">
        <v>18</v>
      </c>
      <c r="G62" s="10">
        <v>4</v>
      </c>
      <c r="H62" s="14">
        <v>46297</v>
      </c>
      <c r="I62" s="8" t="s">
        <v>53</v>
      </c>
      <c r="J62" s="8" t="s">
        <v>54</v>
      </c>
      <c r="K62" s="8" t="s">
        <v>55</v>
      </c>
      <c r="L62" s="8" t="s">
        <v>271</v>
      </c>
      <c r="M62" s="8" t="s">
        <v>57</v>
      </c>
      <c r="N62" s="8" t="s">
        <v>292</v>
      </c>
      <c r="O62" s="8" t="s">
        <v>59</v>
      </c>
      <c r="P62" s="11"/>
    </row>
    <row r="63" spans="1:16" ht="58.05" customHeight="1" x14ac:dyDescent="0.3">
      <c r="A63" s="8" t="s">
        <v>293</v>
      </c>
      <c r="B63" s="8">
        <v>12</v>
      </c>
      <c r="C63" s="8" t="s">
        <v>30</v>
      </c>
      <c r="D63" s="8" t="s">
        <v>294</v>
      </c>
      <c r="E63" s="8" t="s">
        <v>295</v>
      </c>
      <c r="F63" s="9" t="s">
        <v>18</v>
      </c>
      <c r="G63" s="10">
        <v>3</v>
      </c>
      <c r="H63" s="14">
        <v>46297</v>
      </c>
      <c r="I63" s="8" t="s">
        <v>53</v>
      </c>
      <c r="J63" s="8" t="s">
        <v>54</v>
      </c>
      <c r="K63" s="8" t="s">
        <v>55</v>
      </c>
      <c r="L63" s="8" t="s">
        <v>271</v>
      </c>
      <c r="M63" s="8" t="s">
        <v>57</v>
      </c>
      <c r="N63" s="8" t="s">
        <v>296</v>
      </c>
      <c r="O63" s="8" t="s">
        <v>59</v>
      </c>
      <c r="P63" s="11"/>
    </row>
    <row r="64" spans="1:16" ht="58.05" customHeight="1" x14ac:dyDescent="0.3">
      <c r="A64" s="8" t="s">
        <v>297</v>
      </c>
      <c r="B64" s="8">
        <v>12</v>
      </c>
      <c r="C64" s="8" t="s">
        <v>30</v>
      </c>
      <c r="D64" s="8" t="s">
        <v>298</v>
      </c>
      <c r="E64" s="8" t="s">
        <v>299</v>
      </c>
      <c r="F64" s="9" t="s">
        <v>18</v>
      </c>
      <c r="G64" s="10">
        <v>5</v>
      </c>
      <c r="H64" s="14">
        <v>46297</v>
      </c>
      <c r="I64" s="8" t="s">
        <v>53</v>
      </c>
      <c r="J64" s="8" t="s">
        <v>54</v>
      </c>
      <c r="K64" s="8" t="s">
        <v>55</v>
      </c>
      <c r="L64" s="8" t="s">
        <v>271</v>
      </c>
      <c r="M64" s="8" t="s">
        <v>300</v>
      </c>
      <c r="N64" s="8" t="s">
        <v>301</v>
      </c>
      <c r="O64" s="8" t="s">
        <v>59</v>
      </c>
      <c r="P64" s="11"/>
    </row>
    <row r="65" spans="1:16" ht="58.05" customHeight="1" x14ac:dyDescent="0.3">
      <c r="A65" s="8" t="s">
        <v>302</v>
      </c>
      <c r="B65" s="8">
        <v>13</v>
      </c>
      <c r="C65" s="8" t="s">
        <v>31</v>
      </c>
      <c r="D65" s="8" t="s">
        <v>303</v>
      </c>
      <c r="E65" s="8" t="s">
        <v>304</v>
      </c>
      <c r="F65" s="9" t="s">
        <v>20</v>
      </c>
      <c r="G65" s="10">
        <v>6</v>
      </c>
      <c r="H65" s="14">
        <v>46297</v>
      </c>
      <c r="I65" s="8" t="s">
        <v>53</v>
      </c>
      <c r="J65" s="8" t="s">
        <v>54</v>
      </c>
      <c r="K65" s="8" t="s">
        <v>55</v>
      </c>
      <c r="L65" s="8" t="s">
        <v>305</v>
      </c>
      <c r="M65" s="8" t="s">
        <v>57</v>
      </c>
      <c r="N65" s="8" t="s">
        <v>306</v>
      </c>
      <c r="O65" s="8" t="s">
        <v>59</v>
      </c>
      <c r="P65" s="11"/>
    </row>
    <row r="66" spans="1:16" ht="58.05" customHeight="1" x14ac:dyDescent="0.3">
      <c r="A66" s="8" t="s">
        <v>307</v>
      </c>
      <c r="B66" s="8">
        <v>13</v>
      </c>
      <c r="C66" s="8" t="s">
        <v>31</v>
      </c>
      <c r="D66" s="8" t="s">
        <v>308</v>
      </c>
      <c r="E66" s="8" t="s">
        <v>309</v>
      </c>
      <c r="F66" s="9" t="s">
        <v>20</v>
      </c>
      <c r="G66" s="10">
        <v>5</v>
      </c>
      <c r="H66" s="14">
        <v>46297</v>
      </c>
      <c r="I66" s="8" t="s">
        <v>53</v>
      </c>
      <c r="J66" s="8" t="s">
        <v>54</v>
      </c>
      <c r="K66" s="8" t="s">
        <v>55</v>
      </c>
      <c r="L66" s="8" t="s">
        <v>305</v>
      </c>
      <c r="M66" s="8" t="s">
        <v>310</v>
      </c>
      <c r="N66" s="8" t="s">
        <v>311</v>
      </c>
      <c r="O66" s="8" t="s">
        <v>59</v>
      </c>
      <c r="P66" s="11"/>
    </row>
    <row r="67" spans="1:16" ht="58.05" customHeight="1" x14ac:dyDescent="0.3">
      <c r="A67" s="8" t="s">
        <v>312</v>
      </c>
      <c r="B67" s="8">
        <v>14</v>
      </c>
      <c r="C67" s="8" t="s">
        <v>32</v>
      </c>
      <c r="D67" s="8" t="s">
        <v>313</v>
      </c>
      <c r="E67" s="8" t="s">
        <v>314</v>
      </c>
      <c r="F67" s="9" t="s">
        <v>20</v>
      </c>
      <c r="G67" s="10">
        <v>4</v>
      </c>
      <c r="H67" s="14">
        <v>46297</v>
      </c>
      <c r="I67" s="8" t="s">
        <v>53</v>
      </c>
      <c r="J67" s="8" t="s">
        <v>54</v>
      </c>
      <c r="K67" s="8" t="s">
        <v>55</v>
      </c>
      <c r="L67" s="8" t="s">
        <v>315</v>
      </c>
      <c r="M67" s="8" t="s">
        <v>316</v>
      </c>
      <c r="N67" s="8" t="s">
        <v>317</v>
      </c>
      <c r="O67" s="8" t="s">
        <v>59</v>
      </c>
      <c r="P67" s="11"/>
    </row>
    <row r="68" spans="1:16" ht="58.05" customHeight="1" x14ac:dyDescent="0.3">
      <c r="A68" s="8" t="s">
        <v>318</v>
      </c>
      <c r="B68" s="8">
        <v>14</v>
      </c>
      <c r="C68" s="8" t="s">
        <v>32</v>
      </c>
      <c r="D68" s="8" t="s">
        <v>319</v>
      </c>
      <c r="E68" s="8" t="s">
        <v>320</v>
      </c>
      <c r="F68" s="9" t="s">
        <v>20</v>
      </c>
      <c r="G68" s="10">
        <v>5</v>
      </c>
      <c r="H68" s="14">
        <v>46297</v>
      </c>
      <c r="I68" s="8" t="s">
        <v>53</v>
      </c>
      <c r="J68" s="8" t="s">
        <v>54</v>
      </c>
      <c r="K68" s="8" t="s">
        <v>55</v>
      </c>
      <c r="L68" s="8" t="s">
        <v>315</v>
      </c>
      <c r="M68" s="8" t="s">
        <v>321</v>
      </c>
      <c r="N68" s="8" t="s">
        <v>322</v>
      </c>
      <c r="O68" s="8" t="s">
        <v>59</v>
      </c>
      <c r="P68" s="11"/>
    </row>
    <row r="69" spans="1:16" ht="58.05" customHeight="1" x14ac:dyDescent="0.3">
      <c r="A69" s="8" t="s">
        <v>323</v>
      </c>
      <c r="B69" s="8">
        <v>15</v>
      </c>
      <c r="C69" s="8" t="s">
        <v>33</v>
      </c>
      <c r="D69" s="8" t="s">
        <v>324</v>
      </c>
      <c r="E69" s="8" t="s">
        <v>325</v>
      </c>
      <c r="F69" s="9" t="s">
        <v>20</v>
      </c>
      <c r="G69" s="10">
        <v>4</v>
      </c>
      <c r="H69" s="14">
        <v>46298</v>
      </c>
      <c r="I69" s="8" t="s">
        <v>53</v>
      </c>
      <c r="J69" s="8" t="s">
        <v>54</v>
      </c>
      <c r="K69" s="8" t="s">
        <v>55</v>
      </c>
      <c r="L69" s="8" t="s">
        <v>326</v>
      </c>
      <c r="M69" s="8" t="s">
        <v>327</v>
      </c>
      <c r="N69" s="8" t="s">
        <v>328</v>
      </c>
      <c r="O69" s="8" t="s">
        <v>59</v>
      </c>
      <c r="P69" s="11"/>
    </row>
  </sheetData>
  <autoFilter ref="A1:Q69" xr:uid="{00000000-0009-0000-0000-000001000000}"/>
  <pageMargins left="0.25" right="0.25" top="0.5" bottom="0.5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24D"/>
    <pageSetUpPr fitToPage="1"/>
  </sheetPr>
  <dimension ref="A1:H16"/>
  <sheetViews>
    <sheetView showGridLines="0" topLeftCell="D1" zoomScale="85" workbookViewId="0">
      <pane ySplit="1" topLeftCell="A2" activePane="bottomLeft" state="frozen"/>
      <selection pane="bottomLeft" activeCell="I1" sqref="I1:I1048576"/>
    </sheetView>
  </sheetViews>
  <sheetFormatPr defaultRowHeight="14.4" x14ac:dyDescent="0.3"/>
  <cols>
    <col min="1" max="1" width="13" customWidth="1"/>
    <col min="2" max="2" width="20" customWidth="1"/>
    <col min="3" max="3" width="62" customWidth="1"/>
    <col min="4" max="4" width="16" customWidth="1"/>
    <col min="5" max="5" width="13" customWidth="1"/>
    <col min="6" max="6" width="24" customWidth="1"/>
    <col min="7" max="7" width="20" customWidth="1"/>
    <col min="8" max="8" width="43" customWidth="1"/>
    <col min="9" max="9" width="38" customWidth="1"/>
  </cols>
  <sheetData>
    <row r="1" spans="1:8" s="56" customFormat="1" ht="34.049999999999997" customHeight="1" x14ac:dyDescent="0.3">
      <c r="A1" s="54" t="s">
        <v>13</v>
      </c>
      <c r="B1" s="54" t="s">
        <v>14</v>
      </c>
      <c r="C1" s="54" t="s">
        <v>329</v>
      </c>
      <c r="D1" s="54" t="s">
        <v>11</v>
      </c>
      <c r="E1" s="54" t="s">
        <v>10</v>
      </c>
      <c r="F1" s="55" t="s">
        <v>774</v>
      </c>
      <c r="G1" s="54" t="s">
        <v>42</v>
      </c>
      <c r="H1" s="54" t="s">
        <v>330</v>
      </c>
    </row>
    <row r="2" spans="1:8" ht="45" customHeight="1" x14ac:dyDescent="0.3">
      <c r="A2" s="8">
        <v>1</v>
      </c>
      <c r="B2" s="8" t="s">
        <v>17</v>
      </c>
      <c r="C2" s="8" t="s">
        <v>331</v>
      </c>
      <c r="D2" s="8">
        <f>SUMIF('Master Tracker'!$B$2:$B$69,A2,'Master Tracker'!$G$2:$G$69)</f>
        <v>6</v>
      </c>
      <c r="E2" s="8">
        <f>COUNTIF('Master Tracker'!$B$2:$B$69,A2)</f>
        <v>2</v>
      </c>
      <c r="F2" s="43">
        <v>46248</v>
      </c>
      <c r="G2" s="8" t="s">
        <v>332</v>
      </c>
      <c r="H2" s="8" t="s">
        <v>333</v>
      </c>
    </row>
    <row r="3" spans="1:8" ht="45" customHeight="1" x14ac:dyDescent="0.3">
      <c r="A3" s="8">
        <v>2</v>
      </c>
      <c r="B3" s="8" t="s">
        <v>19</v>
      </c>
      <c r="C3" s="8" t="s">
        <v>334</v>
      </c>
      <c r="D3" s="8">
        <f>SUMIF('Master Tracker'!$B$2:$B$69,A3,'Master Tracker'!$G$2:$G$69)</f>
        <v>7</v>
      </c>
      <c r="E3" s="8">
        <f>COUNTIF('Master Tracker'!$B$2:$B$69,A3)</f>
        <v>2</v>
      </c>
      <c r="F3" s="43">
        <v>46249</v>
      </c>
      <c r="G3" s="8" t="s">
        <v>332</v>
      </c>
      <c r="H3" s="8" t="s">
        <v>333</v>
      </c>
    </row>
    <row r="4" spans="1:8" ht="45" customHeight="1" x14ac:dyDescent="0.3">
      <c r="A4" s="8">
        <v>3</v>
      </c>
      <c r="B4" s="8" t="s">
        <v>21</v>
      </c>
      <c r="C4" s="8" t="s">
        <v>335</v>
      </c>
      <c r="D4" s="8">
        <f>SUMIF('Master Tracker'!$B$2:$B$69,A4,'Master Tracker'!$G$2:$G$69)</f>
        <v>13</v>
      </c>
      <c r="E4" s="8">
        <f>COUNTIF('Master Tracker'!$B$2:$B$69,A4)</f>
        <v>3</v>
      </c>
      <c r="F4" s="43">
        <v>46250</v>
      </c>
      <c r="G4" s="8" t="s">
        <v>332</v>
      </c>
      <c r="H4" s="8" t="s">
        <v>333</v>
      </c>
    </row>
    <row r="5" spans="1:8" ht="45" customHeight="1" x14ac:dyDescent="0.3">
      <c r="A5" s="8">
        <v>4</v>
      </c>
      <c r="B5" s="8" t="s">
        <v>22</v>
      </c>
      <c r="C5" s="8" t="s">
        <v>336</v>
      </c>
      <c r="D5" s="8">
        <f>SUMIF('Master Tracker'!$B$2:$B$69,A5,'Master Tracker'!$G$2:$G$69)</f>
        <v>23</v>
      </c>
      <c r="E5" s="8">
        <f>COUNTIF('Master Tracker'!$B$2:$B$69,A5)</f>
        <v>4</v>
      </c>
      <c r="F5" s="43">
        <v>46251</v>
      </c>
      <c r="G5" s="8" t="s">
        <v>332</v>
      </c>
      <c r="H5" s="8" t="s">
        <v>333</v>
      </c>
    </row>
    <row r="6" spans="1:8" ht="45" customHeight="1" x14ac:dyDescent="0.3">
      <c r="A6" s="8">
        <v>5</v>
      </c>
      <c r="B6" s="8" t="s">
        <v>23</v>
      </c>
      <c r="C6" s="8" t="s">
        <v>337</v>
      </c>
      <c r="D6" s="8">
        <f>SUMIF('Master Tracker'!$B$2:$B$69,A6,'Master Tracker'!$G$2:$G$69)</f>
        <v>19</v>
      </c>
      <c r="E6" s="8">
        <f>COUNTIF('Master Tracker'!$B$2:$B$69,A6)</f>
        <v>3</v>
      </c>
      <c r="F6" s="43">
        <v>46252</v>
      </c>
      <c r="G6" s="8" t="s">
        <v>332</v>
      </c>
      <c r="H6" s="8" t="s">
        <v>333</v>
      </c>
    </row>
    <row r="7" spans="1:8" ht="45" customHeight="1" x14ac:dyDescent="0.3">
      <c r="A7" s="8">
        <v>6</v>
      </c>
      <c r="B7" s="8" t="s">
        <v>24</v>
      </c>
      <c r="C7" s="8" t="s">
        <v>338</v>
      </c>
      <c r="D7" s="8">
        <f>SUMIF('Master Tracker'!$B$2:$B$69,A7,'Master Tracker'!$G$2:$G$69)</f>
        <v>37</v>
      </c>
      <c r="E7" s="8">
        <f>COUNTIF('Master Tracker'!$B$2:$B$69,A7)</f>
        <v>6</v>
      </c>
      <c r="F7" s="43">
        <v>46253</v>
      </c>
      <c r="G7" s="8" t="s">
        <v>332</v>
      </c>
      <c r="H7" s="8" t="s">
        <v>333</v>
      </c>
    </row>
    <row r="8" spans="1:8" ht="45" customHeight="1" x14ac:dyDescent="0.3">
      <c r="A8" s="8">
        <v>7</v>
      </c>
      <c r="B8" s="8" t="s">
        <v>25</v>
      </c>
      <c r="C8" s="8" t="s">
        <v>339</v>
      </c>
      <c r="D8" s="8">
        <f>SUMIF('Master Tracker'!$B$2:$B$69,A8,'Master Tracker'!$G$2:$G$69)</f>
        <v>29</v>
      </c>
      <c r="E8" s="8">
        <f>COUNTIF('Master Tracker'!$B$2:$B$69,A8)</f>
        <v>5</v>
      </c>
      <c r="F8" s="43">
        <v>46254</v>
      </c>
      <c r="G8" s="8" t="s">
        <v>332</v>
      </c>
      <c r="H8" s="8" t="s">
        <v>333</v>
      </c>
    </row>
    <row r="9" spans="1:8" ht="45" customHeight="1" x14ac:dyDescent="0.3">
      <c r="A9" s="8">
        <v>8</v>
      </c>
      <c r="B9" s="8" t="s">
        <v>26</v>
      </c>
      <c r="C9" s="8" t="s">
        <v>340</v>
      </c>
      <c r="D9" s="8">
        <f>SUMIF('Master Tracker'!$B$2:$B$69,A9,'Master Tracker'!$G$2:$G$69)</f>
        <v>64</v>
      </c>
      <c r="E9" s="8">
        <f>COUNTIF('Master Tracker'!$B$2:$B$69,A9)</f>
        <v>11</v>
      </c>
      <c r="F9" s="43">
        <v>46255</v>
      </c>
      <c r="G9" s="8" t="s">
        <v>332</v>
      </c>
      <c r="H9" s="8" t="s">
        <v>333</v>
      </c>
    </row>
    <row r="10" spans="1:8" ht="45" customHeight="1" x14ac:dyDescent="0.3">
      <c r="A10" s="8">
        <v>9</v>
      </c>
      <c r="B10" s="8" t="s">
        <v>27</v>
      </c>
      <c r="C10" s="8" t="s">
        <v>341</v>
      </c>
      <c r="D10" s="8">
        <f>SUMIF('Master Tracker'!$B$2:$B$69,A10,'Master Tracker'!$G$2:$G$69)</f>
        <v>35</v>
      </c>
      <c r="E10" s="8">
        <f>COUNTIF('Master Tracker'!$B$2:$B$69,A10)</f>
        <v>7</v>
      </c>
      <c r="F10" s="43">
        <v>46256</v>
      </c>
      <c r="G10" s="8" t="s">
        <v>332</v>
      </c>
      <c r="H10" s="8" t="s">
        <v>333</v>
      </c>
    </row>
    <row r="11" spans="1:8" ht="45" customHeight="1" x14ac:dyDescent="0.3">
      <c r="A11" s="8">
        <v>10</v>
      </c>
      <c r="B11" s="8" t="s">
        <v>28</v>
      </c>
      <c r="C11" s="8" t="s">
        <v>342</v>
      </c>
      <c r="D11" s="8">
        <f>SUMIF('Master Tracker'!$B$2:$B$69,A11,'Master Tracker'!$G$2:$G$69)</f>
        <v>9</v>
      </c>
      <c r="E11" s="8">
        <f>COUNTIF('Master Tracker'!$B$2:$B$69,A11)</f>
        <v>2</v>
      </c>
      <c r="F11" s="43">
        <v>46257</v>
      </c>
      <c r="G11" s="8" t="s">
        <v>332</v>
      </c>
      <c r="H11" s="8" t="s">
        <v>333</v>
      </c>
    </row>
    <row r="12" spans="1:8" ht="45" customHeight="1" x14ac:dyDescent="0.3">
      <c r="A12" s="8">
        <v>11</v>
      </c>
      <c r="B12" s="8" t="s">
        <v>29</v>
      </c>
      <c r="C12" s="8" t="s">
        <v>343</v>
      </c>
      <c r="D12" s="8">
        <f>SUMIF('Master Tracker'!$B$2:$B$69,A12,'Master Tracker'!$G$2:$G$69)</f>
        <v>50</v>
      </c>
      <c r="E12" s="8">
        <f>COUNTIF('Master Tracker'!$B$2:$B$69,A12)</f>
        <v>10</v>
      </c>
      <c r="F12" s="43">
        <v>46258</v>
      </c>
      <c r="G12" s="8" t="s">
        <v>332</v>
      </c>
      <c r="H12" s="8" t="s">
        <v>333</v>
      </c>
    </row>
    <row r="13" spans="1:8" ht="45" customHeight="1" x14ac:dyDescent="0.3">
      <c r="A13" s="8">
        <v>12</v>
      </c>
      <c r="B13" s="8" t="s">
        <v>30</v>
      </c>
      <c r="C13" s="8" t="s">
        <v>344</v>
      </c>
      <c r="D13" s="8">
        <f>SUMIF('Master Tracker'!$B$2:$B$69,A13,'Master Tracker'!$G$2:$G$69)</f>
        <v>49</v>
      </c>
      <c r="E13" s="8">
        <f>COUNTIF('Master Tracker'!$B$2:$B$69,A13)</f>
        <v>8</v>
      </c>
      <c r="F13" s="43">
        <v>46259</v>
      </c>
      <c r="G13" s="8" t="s">
        <v>332</v>
      </c>
      <c r="H13" s="8" t="s">
        <v>333</v>
      </c>
    </row>
    <row r="14" spans="1:8" ht="45" customHeight="1" x14ac:dyDescent="0.3">
      <c r="A14" s="8">
        <v>13</v>
      </c>
      <c r="B14" s="8" t="s">
        <v>31</v>
      </c>
      <c r="C14" s="8" t="s">
        <v>345</v>
      </c>
      <c r="D14" s="8">
        <f>SUMIF('Master Tracker'!$B$2:$B$69,A14,'Master Tracker'!$G$2:$G$69)</f>
        <v>11</v>
      </c>
      <c r="E14" s="8">
        <f>COUNTIF('Master Tracker'!$B$2:$B$69,A14)</f>
        <v>2</v>
      </c>
      <c r="F14" s="43">
        <v>46260</v>
      </c>
      <c r="G14" s="8" t="s">
        <v>332</v>
      </c>
      <c r="H14" s="8" t="s">
        <v>333</v>
      </c>
    </row>
    <row r="15" spans="1:8" ht="45" customHeight="1" x14ac:dyDescent="0.3">
      <c r="A15" s="8">
        <v>14</v>
      </c>
      <c r="B15" s="8" t="s">
        <v>32</v>
      </c>
      <c r="C15" s="8" t="s">
        <v>346</v>
      </c>
      <c r="D15" s="8">
        <f>SUMIF('Master Tracker'!$B$2:$B$69,A15,'Master Tracker'!$G$2:$G$69)</f>
        <v>9</v>
      </c>
      <c r="E15" s="8">
        <f>COUNTIF('Master Tracker'!$B$2:$B$69,A15)</f>
        <v>2</v>
      </c>
      <c r="F15" s="43">
        <v>46261</v>
      </c>
      <c r="G15" s="8" t="s">
        <v>332</v>
      </c>
      <c r="H15" s="8" t="s">
        <v>333</v>
      </c>
    </row>
    <row r="16" spans="1:8" ht="45" customHeight="1" x14ac:dyDescent="0.3">
      <c r="A16" s="8">
        <v>15</v>
      </c>
      <c r="B16" s="8" t="s">
        <v>33</v>
      </c>
      <c r="C16" s="8" t="s">
        <v>323</v>
      </c>
      <c r="D16" s="8">
        <f>SUMIF('Master Tracker'!$B$2:$B$69,A16,'Master Tracker'!$G$2:$G$69)</f>
        <v>4</v>
      </c>
      <c r="E16" s="8">
        <f>COUNTIF('Master Tracker'!$B$2:$B$69,A16)</f>
        <v>1</v>
      </c>
      <c r="F16" s="43">
        <v>46262</v>
      </c>
      <c r="G16" s="8" t="s">
        <v>332</v>
      </c>
      <c r="H16" s="8" t="s">
        <v>333</v>
      </c>
    </row>
  </sheetData>
  <autoFilter ref="A1:I9" xr:uid="{00000000-0009-0000-0000-000002000000}"/>
  <pageMargins left="0.25" right="0.25" top="0.5" bottom="0.5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24D"/>
    <pageSetUpPr fitToPage="1"/>
  </sheetPr>
  <dimension ref="A1:G74"/>
  <sheetViews>
    <sheetView showGridLines="0" zoomScale="85" workbookViewId="0">
      <pane ySplit="1" topLeftCell="A2" activePane="bottomLeft" state="frozen"/>
      <selection pane="bottomLeft" activeCell="E7" sqref="E7"/>
    </sheetView>
  </sheetViews>
  <sheetFormatPr defaultRowHeight="15.6" x14ac:dyDescent="0.3"/>
  <cols>
    <col min="1" max="1" width="16" style="19" customWidth="1"/>
    <col min="2" max="2" width="14" style="19" customWidth="1"/>
    <col min="3" max="3" width="42" style="19" customWidth="1"/>
    <col min="4" max="4" width="42" style="36" customWidth="1"/>
    <col min="5" max="5" width="16" style="34" customWidth="1"/>
    <col min="6" max="6" width="38" style="36" customWidth="1"/>
    <col min="7" max="7" width="58" style="37" customWidth="1"/>
  </cols>
  <sheetData>
    <row r="1" spans="1:7" ht="34.049999999999997" customHeight="1" x14ac:dyDescent="0.3">
      <c r="A1" s="35" t="s">
        <v>347</v>
      </c>
      <c r="B1" s="35" t="s">
        <v>38</v>
      </c>
      <c r="C1" s="35" t="s">
        <v>348</v>
      </c>
      <c r="D1" s="35" t="s">
        <v>349</v>
      </c>
      <c r="E1" s="35" t="s">
        <v>775</v>
      </c>
      <c r="F1" s="35" t="s">
        <v>350</v>
      </c>
      <c r="G1" s="35" t="s">
        <v>351</v>
      </c>
    </row>
    <row r="2" spans="1:7" ht="62.4" customHeight="1" x14ac:dyDescent="0.3">
      <c r="A2" s="40">
        <v>46248</v>
      </c>
      <c r="B2" s="19" t="s">
        <v>50</v>
      </c>
      <c r="C2" s="19" t="s">
        <v>15</v>
      </c>
      <c r="D2" s="36" t="s">
        <v>352</v>
      </c>
      <c r="E2" s="38">
        <v>3</v>
      </c>
      <c r="F2" s="36" t="s">
        <v>353</v>
      </c>
      <c r="G2" s="37" t="s">
        <v>354</v>
      </c>
    </row>
    <row r="3" spans="1:7" ht="46.8" customHeight="1" x14ac:dyDescent="0.3">
      <c r="A3" s="40">
        <v>46249</v>
      </c>
      <c r="B3" s="19" t="s">
        <v>64</v>
      </c>
      <c r="C3" s="19" t="s">
        <v>15</v>
      </c>
      <c r="D3" s="36" t="s">
        <v>355</v>
      </c>
      <c r="E3" s="39">
        <v>3</v>
      </c>
      <c r="F3" s="36" t="s">
        <v>356</v>
      </c>
      <c r="G3" s="37" t="s">
        <v>357</v>
      </c>
    </row>
    <row r="4" spans="1:7" ht="78" customHeight="1" x14ac:dyDescent="0.3">
      <c r="A4" s="40">
        <v>46250</v>
      </c>
      <c r="B4" s="19" t="s">
        <v>83</v>
      </c>
      <c r="C4" s="19" t="s">
        <v>15</v>
      </c>
      <c r="D4" s="36" t="s">
        <v>358</v>
      </c>
      <c r="E4" s="38">
        <v>6</v>
      </c>
      <c r="F4" s="36" t="s">
        <v>359</v>
      </c>
      <c r="G4" s="37" t="s">
        <v>360</v>
      </c>
    </row>
    <row r="5" spans="1:7" ht="78" customHeight="1" x14ac:dyDescent="0.3">
      <c r="A5" s="40">
        <v>46251</v>
      </c>
      <c r="B5" s="19" t="s">
        <v>88</v>
      </c>
      <c r="C5" s="19" t="s">
        <v>15</v>
      </c>
      <c r="D5" s="36" t="s">
        <v>361</v>
      </c>
      <c r="E5" s="39">
        <v>5</v>
      </c>
      <c r="F5" s="36" t="s">
        <v>362</v>
      </c>
      <c r="G5" s="37" t="s">
        <v>363</v>
      </c>
    </row>
    <row r="6" spans="1:7" ht="46.8" customHeight="1" x14ac:dyDescent="0.3">
      <c r="A6" s="40">
        <v>46252</v>
      </c>
      <c r="B6" s="19" t="s">
        <v>92</v>
      </c>
      <c r="C6" s="19" t="s">
        <v>15</v>
      </c>
      <c r="D6" s="36" t="s">
        <v>364</v>
      </c>
      <c r="E6" s="38">
        <v>6</v>
      </c>
      <c r="F6" s="36" t="s">
        <v>365</v>
      </c>
      <c r="G6" s="37" t="s">
        <v>366</v>
      </c>
    </row>
    <row r="7" spans="1:7" ht="93.6" customHeight="1" x14ac:dyDescent="0.3">
      <c r="A7" s="40">
        <v>46253</v>
      </c>
      <c r="B7" s="19" t="s">
        <v>97</v>
      </c>
      <c r="C7" s="19" t="s">
        <v>15</v>
      </c>
      <c r="D7" s="36" t="s">
        <v>367</v>
      </c>
      <c r="E7" s="39">
        <v>6</v>
      </c>
      <c r="F7" s="36" t="s">
        <v>368</v>
      </c>
      <c r="G7" s="37" t="s">
        <v>369</v>
      </c>
    </row>
    <row r="8" spans="1:7" ht="62.4" customHeight="1" x14ac:dyDescent="0.3">
      <c r="A8" s="40">
        <v>46254</v>
      </c>
      <c r="B8" s="19" t="s">
        <v>101</v>
      </c>
      <c r="C8" s="19" t="s">
        <v>15</v>
      </c>
      <c r="D8" s="36" t="s">
        <v>370</v>
      </c>
      <c r="E8" s="38">
        <v>7</v>
      </c>
      <c r="F8" s="36" t="s">
        <v>371</v>
      </c>
      <c r="G8" s="37" t="s">
        <v>372</v>
      </c>
    </row>
    <row r="9" spans="1:7" ht="62.4" customHeight="1" x14ac:dyDescent="0.3">
      <c r="A9" s="40">
        <v>46255</v>
      </c>
      <c r="B9" s="19" t="s">
        <v>106</v>
      </c>
      <c r="C9" s="19" t="s">
        <v>15</v>
      </c>
      <c r="D9" s="36" t="s">
        <v>373</v>
      </c>
      <c r="E9" s="39">
        <v>7</v>
      </c>
      <c r="F9" s="36" t="s">
        <v>371</v>
      </c>
      <c r="G9" s="37" t="s">
        <v>372</v>
      </c>
    </row>
    <row r="10" spans="1:7" ht="62.4" customHeight="1" x14ac:dyDescent="0.3">
      <c r="A10" s="40">
        <v>46256</v>
      </c>
      <c r="B10" s="19" t="s">
        <v>109</v>
      </c>
      <c r="C10" s="19" t="s">
        <v>15</v>
      </c>
      <c r="D10" s="36" t="s">
        <v>374</v>
      </c>
      <c r="E10" s="38">
        <v>5</v>
      </c>
      <c r="F10" s="36" t="s">
        <v>371</v>
      </c>
      <c r="G10" s="37" t="s">
        <v>372</v>
      </c>
    </row>
    <row r="11" spans="1:7" ht="62.4" customHeight="1" x14ac:dyDescent="0.3">
      <c r="A11" s="40">
        <v>46257</v>
      </c>
      <c r="B11" s="19" t="s">
        <v>111</v>
      </c>
      <c r="C11" s="19" t="s">
        <v>15</v>
      </c>
      <c r="D11" s="36" t="s">
        <v>375</v>
      </c>
      <c r="E11" s="39">
        <v>4</v>
      </c>
      <c r="F11" s="36" t="s">
        <v>376</v>
      </c>
      <c r="G11" s="37" t="s">
        <v>377</v>
      </c>
    </row>
    <row r="12" spans="1:7" ht="78" customHeight="1" x14ac:dyDescent="0.3">
      <c r="A12" s="40">
        <v>46258</v>
      </c>
      <c r="B12" s="19" t="s">
        <v>116</v>
      </c>
      <c r="C12" s="19" t="s">
        <v>15</v>
      </c>
      <c r="D12" s="36" t="s">
        <v>378</v>
      </c>
      <c r="E12" s="38">
        <v>7</v>
      </c>
      <c r="F12" s="36" t="s">
        <v>379</v>
      </c>
      <c r="G12" s="37" t="s">
        <v>380</v>
      </c>
    </row>
    <row r="13" spans="1:7" ht="78" customHeight="1" x14ac:dyDescent="0.3">
      <c r="A13" s="40">
        <v>46259</v>
      </c>
      <c r="B13" s="19" t="s">
        <v>120</v>
      </c>
      <c r="C13" s="19" t="s">
        <v>15</v>
      </c>
      <c r="D13" s="36" t="s">
        <v>381</v>
      </c>
      <c r="E13" s="39">
        <v>9</v>
      </c>
      <c r="F13" s="36" t="s">
        <v>379</v>
      </c>
      <c r="G13" s="37" t="s">
        <v>380</v>
      </c>
    </row>
    <row r="14" spans="1:7" ht="62.4" customHeight="1" x14ac:dyDescent="0.3">
      <c r="A14" s="40">
        <v>46260</v>
      </c>
      <c r="B14" s="19" t="s">
        <v>123</v>
      </c>
      <c r="C14" s="19" t="s">
        <v>15</v>
      </c>
      <c r="D14" s="36" t="s">
        <v>382</v>
      </c>
      <c r="E14" s="38">
        <v>6</v>
      </c>
      <c r="F14" s="36" t="s">
        <v>383</v>
      </c>
      <c r="G14" s="37" t="s">
        <v>384</v>
      </c>
    </row>
    <row r="15" spans="1:7" ht="62.4" customHeight="1" x14ac:dyDescent="0.3">
      <c r="A15" s="40">
        <v>46261</v>
      </c>
      <c r="B15" s="19" t="s">
        <v>128</v>
      </c>
      <c r="C15" s="19" t="s">
        <v>15</v>
      </c>
      <c r="D15" s="36" t="s">
        <v>385</v>
      </c>
      <c r="E15" s="39">
        <v>5</v>
      </c>
      <c r="F15" s="36" t="s">
        <v>386</v>
      </c>
      <c r="G15" s="37" t="s">
        <v>387</v>
      </c>
    </row>
    <row r="16" spans="1:7" ht="62.4" customHeight="1" x14ac:dyDescent="0.3">
      <c r="A16" s="40">
        <v>46262</v>
      </c>
      <c r="B16" s="19" t="s">
        <v>132</v>
      </c>
      <c r="C16" s="19" t="s">
        <v>15</v>
      </c>
      <c r="D16" s="36" t="s">
        <v>388</v>
      </c>
      <c r="E16" s="38">
        <v>6</v>
      </c>
      <c r="F16" s="36" t="s">
        <v>383</v>
      </c>
      <c r="G16" s="37" t="s">
        <v>384</v>
      </c>
    </row>
    <row r="17" spans="1:7" ht="62.4" customHeight="1" x14ac:dyDescent="0.3">
      <c r="A17" s="40">
        <v>46263</v>
      </c>
      <c r="B17" s="19" t="s">
        <v>136</v>
      </c>
      <c r="C17" s="19" t="s">
        <v>15</v>
      </c>
      <c r="D17" s="36" t="s">
        <v>389</v>
      </c>
      <c r="E17" s="39">
        <v>5</v>
      </c>
      <c r="F17" s="36" t="s">
        <v>390</v>
      </c>
      <c r="G17" s="37" t="s">
        <v>391</v>
      </c>
    </row>
    <row r="18" spans="1:7" ht="78" customHeight="1" x14ac:dyDescent="0.3">
      <c r="A18" s="40">
        <v>46264</v>
      </c>
      <c r="B18" s="19" t="s">
        <v>141</v>
      </c>
      <c r="C18" s="19" t="s">
        <v>15</v>
      </c>
      <c r="D18" s="36" t="s">
        <v>392</v>
      </c>
      <c r="E18" s="38">
        <v>6</v>
      </c>
      <c r="F18" s="36" t="s">
        <v>393</v>
      </c>
      <c r="G18" s="37" t="s">
        <v>394</v>
      </c>
    </row>
    <row r="19" spans="1:7" ht="78" customHeight="1" x14ac:dyDescent="0.3">
      <c r="A19" s="40">
        <v>46265</v>
      </c>
      <c r="B19" s="19" t="s">
        <v>145</v>
      </c>
      <c r="C19" s="19" t="s">
        <v>15</v>
      </c>
      <c r="D19" s="36" t="s">
        <v>395</v>
      </c>
      <c r="E19" s="39">
        <v>6</v>
      </c>
      <c r="F19" s="36" t="s">
        <v>396</v>
      </c>
      <c r="G19" s="37" t="s">
        <v>397</v>
      </c>
    </row>
    <row r="20" spans="1:7" ht="78" customHeight="1" x14ac:dyDescent="0.3">
      <c r="A20" s="40">
        <v>46266</v>
      </c>
      <c r="B20" s="19" t="s">
        <v>149</v>
      </c>
      <c r="C20" s="19" t="s">
        <v>15</v>
      </c>
      <c r="D20" s="36" t="s">
        <v>398</v>
      </c>
      <c r="E20" s="38">
        <v>7</v>
      </c>
      <c r="F20" s="36" t="s">
        <v>399</v>
      </c>
      <c r="G20" s="37" t="s">
        <v>400</v>
      </c>
    </row>
    <row r="21" spans="1:7" ht="78" customHeight="1" x14ac:dyDescent="0.3">
      <c r="A21" s="40">
        <v>46267</v>
      </c>
      <c r="B21" s="19" t="s">
        <v>153</v>
      </c>
      <c r="C21" s="19" t="s">
        <v>15</v>
      </c>
      <c r="D21" s="36" t="s">
        <v>401</v>
      </c>
      <c r="E21" s="39">
        <v>5</v>
      </c>
      <c r="F21" s="36" t="s">
        <v>402</v>
      </c>
      <c r="G21" s="37" t="s">
        <v>403</v>
      </c>
    </row>
    <row r="22" spans="1:7" ht="109.2" customHeight="1" x14ac:dyDescent="0.3">
      <c r="A22" s="40">
        <v>46268</v>
      </c>
      <c r="B22" s="19" t="s">
        <v>157</v>
      </c>
      <c r="C22" s="19" t="s">
        <v>15</v>
      </c>
      <c r="D22" s="36" t="s">
        <v>404</v>
      </c>
      <c r="E22" s="38">
        <v>5</v>
      </c>
      <c r="F22" s="36" t="s">
        <v>405</v>
      </c>
      <c r="G22" s="37" t="s">
        <v>406</v>
      </c>
    </row>
    <row r="23" spans="1:7" ht="109.2" customHeight="1" x14ac:dyDescent="0.3">
      <c r="A23" s="40">
        <v>46269</v>
      </c>
      <c r="B23" s="19" t="s">
        <v>162</v>
      </c>
      <c r="C23" s="19" t="s">
        <v>15</v>
      </c>
      <c r="D23" s="36" t="s">
        <v>407</v>
      </c>
      <c r="E23" s="39">
        <v>8</v>
      </c>
      <c r="F23" s="36" t="s">
        <v>408</v>
      </c>
      <c r="G23" s="37" t="s">
        <v>409</v>
      </c>
    </row>
    <row r="24" spans="1:7" ht="93.6" customHeight="1" x14ac:dyDescent="0.3">
      <c r="A24" s="40">
        <v>46270</v>
      </c>
      <c r="B24" s="19" t="s">
        <v>166</v>
      </c>
      <c r="C24" s="19" t="s">
        <v>15</v>
      </c>
      <c r="D24" s="36" t="s">
        <v>410</v>
      </c>
      <c r="E24" s="38">
        <v>6</v>
      </c>
      <c r="F24" s="36" t="s">
        <v>411</v>
      </c>
      <c r="G24" s="37" t="s">
        <v>412</v>
      </c>
    </row>
    <row r="25" spans="1:7" ht="93.6" customHeight="1" x14ac:dyDescent="0.3">
      <c r="A25" s="40">
        <v>46271</v>
      </c>
      <c r="B25" s="19" t="s">
        <v>170</v>
      </c>
      <c r="C25" s="19" t="s">
        <v>15</v>
      </c>
      <c r="D25" s="36" t="s">
        <v>413</v>
      </c>
      <c r="E25" s="39">
        <v>6</v>
      </c>
      <c r="F25" s="36" t="s">
        <v>411</v>
      </c>
      <c r="G25" s="37" t="s">
        <v>412</v>
      </c>
    </row>
    <row r="26" spans="1:7" ht="78" customHeight="1" x14ac:dyDescent="0.3">
      <c r="A26" s="40">
        <v>46272</v>
      </c>
      <c r="B26" s="19" t="s">
        <v>172</v>
      </c>
      <c r="C26" s="19" t="s">
        <v>15</v>
      </c>
      <c r="D26" s="36" t="s">
        <v>414</v>
      </c>
      <c r="E26" s="38">
        <v>6</v>
      </c>
      <c r="F26" s="36" t="s">
        <v>415</v>
      </c>
      <c r="G26" s="37" t="s">
        <v>416</v>
      </c>
    </row>
    <row r="27" spans="1:7" ht="109.2" customHeight="1" x14ac:dyDescent="0.3">
      <c r="A27" s="40">
        <v>46273</v>
      </c>
      <c r="B27" s="19" t="s">
        <v>176</v>
      </c>
      <c r="C27" s="19" t="s">
        <v>15</v>
      </c>
      <c r="D27" s="36" t="s">
        <v>417</v>
      </c>
      <c r="E27" s="39">
        <v>8</v>
      </c>
      <c r="F27" s="36" t="s">
        <v>418</v>
      </c>
      <c r="G27" s="37" t="s">
        <v>419</v>
      </c>
    </row>
    <row r="28" spans="1:7" ht="93.6" customHeight="1" x14ac:dyDescent="0.3">
      <c r="A28" s="40">
        <v>46274</v>
      </c>
      <c r="B28" s="19" t="s">
        <v>179</v>
      </c>
      <c r="C28" s="19" t="s">
        <v>15</v>
      </c>
      <c r="D28" s="36" t="s">
        <v>374</v>
      </c>
      <c r="E28" s="38">
        <v>5</v>
      </c>
      <c r="F28" s="36" t="s">
        <v>411</v>
      </c>
      <c r="G28" s="37" t="s">
        <v>412</v>
      </c>
    </row>
    <row r="29" spans="1:7" ht="93.6" customHeight="1" x14ac:dyDescent="0.3">
      <c r="A29" s="40">
        <v>46275</v>
      </c>
      <c r="B29" s="19" t="s">
        <v>181</v>
      </c>
      <c r="C29" s="19" t="s">
        <v>15</v>
      </c>
      <c r="D29" s="36" t="s">
        <v>420</v>
      </c>
      <c r="E29" s="39">
        <v>5</v>
      </c>
      <c r="F29" s="36" t="s">
        <v>421</v>
      </c>
      <c r="G29" s="37" t="s">
        <v>422</v>
      </c>
    </row>
    <row r="30" spans="1:7" ht="62.4" customHeight="1" x14ac:dyDescent="0.3">
      <c r="A30" s="40">
        <v>46276</v>
      </c>
      <c r="B30" s="19" t="s">
        <v>184</v>
      </c>
      <c r="C30" s="19" t="s">
        <v>15</v>
      </c>
      <c r="D30" s="36" t="s">
        <v>423</v>
      </c>
      <c r="E30" s="38">
        <v>5</v>
      </c>
      <c r="F30" s="36" t="s">
        <v>424</v>
      </c>
      <c r="G30" s="37" t="s">
        <v>425</v>
      </c>
    </row>
    <row r="31" spans="1:7" ht="78" customHeight="1" x14ac:dyDescent="0.3">
      <c r="A31" s="40">
        <v>46277</v>
      </c>
      <c r="B31" s="19" t="s">
        <v>188</v>
      </c>
      <c r="C31" s="19" t="s">
        <v>15</v>
      </c>
      <c r="D31" s="36" t="s">
        <v>426</v>
      </c>
      <c r="E31" s="39">
        <v>4</v>
      </c>
      <c r="F31" s="36" t="s">
        <v>427</v>
      </c>
      <c r="G31" s="37" t="s">
        <v>428</v>
      </c>
    </row>
    <row r="32" spans="1:7" ht="93.6" customHeight="1" x14ac:dyDescent="0.3">
      <c r="A32" s="40">
        <v>46278</v>
      </c>
      <c r="B32" s="19" t="s">
        <v>191</v>
      </c>
      <c r="C32" s="19" t="s">
        <v>15</v>
      </c>
      <c r="D32" s="36" t="s">
        <v>429</v>
      </c>
      <c r="E32" s="38">
        <v>6</v>
      </c>
      <c r="F32" s="36" t="s">
        <v>430</v>
      </c>
      <c r="G32" s="37" t="s">
        <v>431</v>
      </c>
    </row>
    <row r="33" spans="1:7" ht="93.6" customHeight="1" x14ac:dyDescent="0.3">
      <c r="A33" s="40">
        <v>46279</v>
      </c>
      <c r="B33" s="19" t="s">
        <v>195</v>
      </c>
      <c r="C33" s="19" t="s">
        <v>15</v>
      </c>
      <c r="D33" s="36" t="s">
        <v>432</v>
      </c>
      <c r="E33" s="39">
        <v>6</v>
      </c>
      <c r="F33" s="36" t="s">
        <v>433</v>
      </c>
      <c r="G33" s="37" t="s">
        <v>434</v>
      </c>
    </row>
    <row r="34" spans="1:7" ht="78" customHeight="1" x14ac:dyDescent="0.3">
      <c r="A34" s="40">
        <v>46280</v>
      </c>
      <c r="B34" s="19" t="s">
        <v>200</v>
      </c>
      <c r="C34" s="19" t="s">
        <v>15</v>
      </c>
      <c r="D34" s="36" t="s">
        <v>435</v>
      </c>
      <c r="E34" s="38">
        <v>6</v>
      </c>
      <c r="F34" s="36" t="s">
        <v>436</v>
      </c>
      <c r="G34" s="37" t="s">
        <v>437</v>
      </c>
    </row>
    <row r="35" spans="1:7" ht="62.4" customHeight="1" x14ac:dyDescent="0.3">
      <c r="A35" s="40">
        <v>46281</v>
      </c>
      <c r="B35" s="19" t="s">
        <v>203</v>
      </c>
      <c r="C35" s="19" t="s">
        <v>15</v>
      </c>
      <c r="D35" s="36" t="s">
        <v>438</v>
      </c>
      <c r="E35" s="39">
        <v>5</v>
      </c>
      <c r="F35" s="36" t="s">
        <v>439</v>
      </c>
      <c r="G35" s="37" t="s">
        <v>440</v>
      </c>
    </row>
    <row r="36" spans="1:7" ht="78" customHeight="1" x14ac:dyDescent="0.3">
      <c r="A36" s="40">
        <v>46282</v>
      </c>
      <c r="B36" s="19" t="s">
        <v>207</v>
      </c>
      <c r="C36" s="19" t="s">
        <v>15</v>
      </c>
      <c r="D36" s="36" t="s">
        <v>441</v>
      </c>
      <c r="E36" s="38">
        <v>5</v>
      </c>
      <c r="F36" s="36" t="s">
        <v>442</v>
      </c>
      <c r="G36" s="37" t="s">
        <v>443</v>
      </c>
    </row>
    <row r="37" spans="1:7" ht="62.4" customHeight="1" x14ac:dyDescent="0.3">
      <c r="A37" s="40">
        <v>46283</v>
      </c>
      <c r="B37" s="19" t="s">
        <v>211</v>
      </c>
      <c r="C37" s="19" t="s">
        <v>15</v>
      </c>
      <c r="D37" s="36" t="s">
        <v>444</v>
      </c>
      <c r="E37" s="39">
        <v>4</v>
      </c>
      <c r="F37" s="36" t="s">
        <v>365</v>
      </c>
      <c r="G37" s="37" t="s">
        <v>445</v>
      </c>
    </row>
    <row r="38" spans="1:7" ht="46.8" customHeight="1" x14ac:dyDescent="0.3">
      <c r="A38" s="40">
        <v>46284</v>
      </c>
      <c r="B38" s="19" t="s">
        <v>215</v>
      </c>
      <c r="C38" s="19" t="s">
        <v>15</v>
      </c>
      <c r="D38" s="36" t="s">
        <v>446</v>
      </c>
      <c r="E38" s="38">
        <v>4</v>
      </c>
      <c r="F38" s="36" t="s">
        <v>365</v>
      </c>
      <c r="G38" s="37" t="s">
        <v>447</v>
      </c>
    </row>
    <row r="39" spans="1:7" ht="78" customHeight="1" x14ac:dyDescent="0.3">
      <c r="A39" s="40">
        <v>46285</v>
      </c>
      <c r="B39" s="19" t="s">
        <v>219</v>
      </c>
      <c r="C39" s="19" t="s">
        <v>15</v>
      </c>
      <c r="D39" s="36" t="s">
        <v>448</v>
      </c>
      <c r="E39" s="39">
        <v>5</v>
      </c>
      <c r="F39" s="36" t="s">
        <v>449</v>
      </c>
      <c r="G39" s="37" t="s">
        <v>450</v>
      </c>
    </row>
    <row r="40" spans="1:7" ht="46.8" customHeight="1" x14ac:dyDescent="0.3">
      <c r="A40" s="40">
        <v>46286</v>
      </c>
      <c r="B40" s="19" t="s">
        <v>223</v>
      </c>
      <c r="C40" s="19" t="s">
        <v>15</v>
      </c>
      <c r="D40" s="36" t="s">
        <v>451</v>
      </c>
      <c r="E40" s="38">
        <v>6</v>
      </c>
      <c r="F40" s="36" t="s">
        <v>365</v>
      </c>
      <c r="G40" s="37" t="s">
        <v>452</v>
      </c>
    </row>
    <row r="41" spans="1:7" ht="78" customHeight="1" x14ac:dyDescent="0.3">
      <c r="A41" s="40">
        <v>46287</v>
      </c>
      <c r="B41" s="19" t="s">
        <v>229</v>
      </c>
      <c r="C41" s="19" t="s">
        <v>15</v>
      </c>
      <c r="D41" s="36" t="s">
        <v>453</v>
      </c>
      <c r="E41" s="39">
        <v>3</v>
      </c>
      <c r="F41" s="36" t="s">
        <v>454</v>
      </c>
      <c r="G41" s="37" t="s">
        <v>455</v>
      </c>
    </row>
    <row r="42" spans="1:7" ht="78" customHeight="1" x14ac:dyDescent="0.3">
      <c r="A42" s="40">
        <v>46288</v>
      </c>
      <c r="B42" s="19" t="s">
        <v>302</v>
      </c>
      <c r="C42" s="19" t="s">
        <v>15</v>
      </c>
      <c r="D42" s="36" t="s">
        <v>456</v>
      </c>
      <c r="E42" s="38">
        <v>6</v>
      </c>
      <c r="F42" s="36" t="s">
        <v>457</v>
      </c>
      <c r="G42" s="37" t="s">
        <v>458</v>
      </c>
    </row>
    <row r="43" spans="1:7" ht="46.8" customHeight="1" x14ac:dyDescent="0.3">
      <c r="A43" s="40">
        <v>46289</v>
      </c>
      <c r="B43" s="19" t="s">
        <v>307</v>
      </c>
      <c r="C43" s="19" t="s">
        <v>15</v>
      </c>
      <c r="D43" s="36" t="s">
        <v>459</v>
      </c>
      <c r="E43" s="39">
        <v>5</v>
      </c>
      <c r="F43" s="36" t="s">
        <v>365</v>
      </c>
      <c r="G43" s="37" t="s">
        <v>460</v>
      </c>
    </row>
    <row r="44" spans="1:7" ht="46.8" customHeight="1" x14ac:dyDescent="0.3">
      <c r="A44" s="40">
        <v>46290</v>
      </c>
      <c r="B44" s="19" t="s">
        <v>312</v>
      </c>
      <c r="C44" s="19" t="s">
        <v>15</v>
      </c>
      <c r="D44" s="36" t="s">
        <v>461</v>
      </c>
      <c r="E44" s="38">
        <v>4</v>
      </c>
      <c r="F44" s="36" t="s">
        <v>365</v>
      </c>
      <c r="G44" s="37" t="s">
        <v>462</v>
      </c>
    </row>
    <row r="45" spans="1:7" ht="46.8" customHeight="1" x14ac:dyDescent="0.3">
      <c r="A45" s="40">
        <v>46291</v>
      </c>
      <c r="B45" s="19" t="s">
        <v>318</v>
      </c>
      <c r="C45" s="19" t="s">
        <v>15</v>
      </c>
      <c r="D45" s="36" t="s">
        <v>463</v>
      </c>
      <c r="E45" s="39">
        <v>5</v>
      </c>
      <c r="F45" s="36" t="s">
        <v>365</v>
      </c>
      <c r="G45" s="37" t="s">
        <v>464</v>
      </c>
    </row>
    <row r="46" spans="1:7" ht="46.8" customHeight="1" x14ac:dyDescent="0.3">
      <c r="A46" s="40">
        <v>46292</v>
      </c>
      <c r="B46" s="19" t="s">
        <v>323</v>
      </c>
      <c r="C46" s="19" t="s">
        <v>15</v>
      </c>
      <c r="D46" s="36" t="s">
        <v>465</v>
      </c>
      <c r="E46" s="38">
        <v>4</v>
      </c>
      <c r="F46" s="36" t="s">
        <v>365</v>
      </c>
      <c r="G46" s="37" t="s">
        <v>466</v>
      </c>
    </row>
    <row r="47" spans="1:7" ht="62.4" customHeight="1" x14ac:dyDescent="0.3">
      <c r="A47" s="40">
        <v>46293</v>
      </c>
      <c r="B47" s="19" t="s">
        <v>60</v>
      </c>
      <c r="C47" s="19" t="s">
        <v>18</v>
      </c>
      <c r="D47" s="36" t="s">
        <v>467</v>
      </c>
      <c r="E47" s="38">
        <v>3</v>
      </c>
      <c r="F47" s="36" t="s">
        <v>468</v>
      </c>
      <c r="G47" s="37" t="s">
        <v>469</v>
      </c>
    </row>
    <row r="48" spans="1:7" ht="62.4" customHeight="1" x14ac:dyDescent="0.3">
      <c r="A48" s="40">
        <v>46294</v>
      </c>
      <c r="B48" s="19" t="s">
        <v>69</v>
      </c>
      <c r="C48" s="19" t="s">
        <v>18</v>
      </c>
      <c r="D48" s="36" t="s">
        <v>470</v>
      </c>
      <c r="E48" s="39">
        <v>4</v>
      </c>
      <c r="F48" s="36" t="s">
        <v>471</v>
      </c>
      <c r="G48" s="37" t="s">
        <v>472</v>
      </c>
    </row>
    <row r="49" spans="1:7" ht="62.4" customHeight="1" x14ac:dyDescent="0.3">
      <c r="A49" s="40">
        <v>46295</v>
      </c>
      <c r="B49" s="19" t="s">
        <v>73</v>
      </c>
      <c r="C49" s="19" t="s">
        <v>18</v>
      </c>
      <c r="D49" s="36" t="s">
        <v>473</v>
      </c>
      <c r="E49" s="38">
        <v>4</v>
      </c>
      <c r="F49" s="36" t="s">
        <v>353</v>
      </c>
      <c r="G49" s="37" t="s">
        <v>474</v>
      </c>
    </row>
    <row r="50" spans="1:7" ht="62.4" customHeight="1" x14ac:dyDescent="0.3">
      <c r="A50" s="40">
        <v>46296</v>
      </c>
      <c r="B50" s="19" t="s">
        <v>77</v>
      </c>
      <c r="C50" s="19" t="s">
        <v>18</v>
      </c>
      <c r="D50" s="36" t="s">
        <v>475</v>
      </c>
      <c r="E50" s="39">
        <v>5</v>
      </c>
      <c r="F50" s="36" t="s">
        <v>468</v>
      </c>
      <c r="G50" s="37" t="s">
        <v>469</v>
      </c>
    </row>
    <row r="51" spans="1:7" ht="62.4" customHeight="1" x14ac:dyDescent="0.3">
      <c r="A51" s="40">
        <v>46297</v>
      </c>
      <c r="B51" s="19" t="s">
        <v>80</v>
      </c>
      <c r="C51" s="19" t="s">
        <v>18</v>
      </c>
      <c r="D51" s="36" t="s">
        <v>476</v>
      </c>
      <c r="E51" s="38">
        <v>4</v>
      </c>
      <c r="F51" s="36" t="s">
        <v>353</v>
      </c>
      <c r="G51" s="37" t="s">
        <v>474</v>
      </c>
    </row>
    <row r="52" spans="1:7" ht="62.4" customHeight="1" x14ac:dyDescent="0.3">
      <c r="A52" s="40">
        <v>46298</v>
      </c>
      <c r="B52" s="19" t="s">
        <v>234</v>
      </c>
      <c r="C52" s="19" t="s">
        <v>18</v>
      </c>
      <c r="D52" s="36" t="s">
        <v>477</v>
      </c>
      <c r="E52" s="39">
        <v>5</v>
      </c>
      <c r="F52" s="36" t="s">
        <v>478</v>
      </c>
      <c r="G52" s="37" t="s">
        <v>479</v>
      </c>
    </row>
    <row r="53" spans="1:7" ht="62.4" customHeight="1" x14ac:dyDescent="0.3">
      <c r="A53" s="40">
        <v>46248</v>
      </c>
      <c r="B53" s="19" t="s">
        <v>239</v>
      </c>
      <c r="C53" s="19" t="s">
        <v>18</v>
      </c>
      <c r="D53" s="36" t="s">
        <v>480</v>
      </c>
      <c r="E53" s="38">
        <v>4</v>
      </c>
      <c r="F53" s="36" t="s">
        <v>481</v>
      </c>
      <c r="G53" s="37" t="s">
        <v>482</v>
      </c>
    </row>
    <row r="54" spans="1:7" ht="62.4" customHeight="1" x14ac:dyDescent="0.3">
      <c r="A54" s="40">
        <v>46249</v>
      </c>
      <c r="B54" s="19" t="s">
        <v>242</v>
      </c>
      <c r="C54" s="19" t="s">
        <v>18</v>
      </c>
      <c r="D54" s="36" t="s">
        <v>483</v>
      </c>
      <c r="E54" s="39">
        <v>5</v>
      </c>
      <c r="F54" s="36" t="s">
        <v>478</v>
      </c>
      <c r="G54" s="37" t="s">
        <v>479</v>
      </c>
    </row>
    <row r="55" spans="1:7" ht="62.4" customHeight="1" x14ac:dyDescent="0.3">
      <c r="A55" s="40">
        <v>46250</v>
      </c>
      <c r="B55" s="19" t="s">
        <v>244</v>
      </c>
      <c r="C55" s="19" t="s">
        <v>18</v>
      </c>
      <c r="D55" s="36" t="s">
        <v>484</v>
      </c>
      <c r="E55" s="38">
        <v>7</v>
      </c>
      <c r="F55" s="36" t="s">
        <v>478</v>
      </c>
      <c r="G55" s="37" t="s">
        <v>479</v>
      </c>
    </row>
    <row r="56" spans="1:7" ht="93.6" customHeight="1" x14ac:dyDescent="0.3">
      <c r="A56" s="40">
        <v>46251</v>
      </c>
      <c r="B56" s="19" t="s">
        <v>246</v>
      </c>
      <c r="C56" s="19" t="s">
        <v>18</v>
      </c>
      <c r="D56" s="36" t="s">
        <v>485</v>
      </c>
      <c r="E56" s="39">
        <v>3</v>
      </c>
      <c r="F56" s="36" t="s">
        <v>486</v>
      </c>
      <c r="G56" s="37" t="s">
        <v>487</v>
      </c>
    </row>
    <row r="57" spans="1:7" ht="62.4" customHeight="1" x14ac:dyDescent="0.3">
      <c r="A57" s="40">
        <v>46252</v>
      </c>
      <c r="B57" s="19" t="s">
        <v>250</v>
      </c>
      <c r="C57" s="19" t="s">
        <v>18</v>
      </c>
      <c r="D57" s="36" t="s">
        <v>488</v>
      </c>
      <c r="E57" s="38">
        <v>7</v>
      </c>
      <c r="F57" s="36" t="s">
        <v>489</v>
      </c>
      <c r="G57" s="37" t="s">
        <v>490</v>
      </c>
    </row>
    <row r="58" spans="1:7" ht="78" customHeight="1" x14ac:dyDescent="0.3">
      <c r="A58" s="40">
        <v>46253</v>
      </c>
      <c r="B58" s="19" t="s">
        <v>254</v>
      </c>
      <c r="C58" s="19" t="s">
        <v>18</v>
      </c>
      <c r="D58" s="36" t="s">
        <v>491</v>
      </c>
      <c r="E58" s="39">
        <v>5</v>
      </c>
      <c r="F58" s="36" t="s">
        <v>492</v>
      </c>
      <c r="G58" s="37" t="s">
        <v>493</v>
      </c>
    </row>
    <row r="59" spans="1:7" ht="78" customHeight="1" x14ac:dyDescent="0.3">
      <c r="A59" s="40">
        <v>46254</v>
      </c>
      <c r="B59" s="19" t="s">
        <v>258</v>
      </c>
      <c r="C59" s="19" t="s">
        <v>18</v>
      </c>
      <c r="D59" s="36" t="s">
        <v>494</v>
      </c>
      <c r="E59" s="38">
        <v>5</v>
      </c>
      <c r="F59" s="36" t="s">
        <v>495</v>
      </c>
      <c r="G59" s="37" t="s">
        <v>496</v>
      </c>
    </row>
    <row r="60" spans="1:7" ht="78" customHeight="1" x14ac:dyDescent="0.3">
      <c r="A60" s="40">
        <v>46255</v>
      </c>
      <c r="B60" s="19" t="s">
        <v>261</v>
      </c>
      <c r="C60" s="19" t="s">
        <v>18</v>
      </c>
      <c r="D60" s="36" t="s">
        <v>497</v>
      </c>
      <c r="E60" s="39">
        <v>4</v>
      </c>
      <c r="F60" s="36" t="s">
        <v>495</v>
      </c>
      <c r="G60" s="37" t="s">
        <v>496</v>
      </c>
    </row>
    <row r="61" spans="1:7" ht="46.8" customHeight="1" x14ac:dyDescent="0.3">
      <c r="A61" s="40">
        <v>46256</v>
      </c>
      <c r="B61" s="19" t="s">
        <v>264</v>
      </c>
      <c r="C61" s="19" t="s">
        <v>18</v>
      </c>
      <c r="D61" s="36" t="s">
        <v>498</v>
      </c>
      <c r="E61" s="38">
        <v>5</v>
      </c>
      <c r="F61" s="36" t="s">
        <v>365</v>
      </c>
      <c r="G61" s="37" t="s">
        <v>499</v>
      </c>
    </row>
    <row r="62" spans="1:7" ht="62.4" customHeight="1" x14ac:dyDescent="0.3">
      <c r="A62" s="40">
        <v>46257</v>
      </c>
      <c r="B62" s="19" t="s">
        <v>268</v>
      </c>
      <c r="C62" s="19" t="s">
        <v>18</v>
      </c>
      <c r="D62" s="36" t="s">
        <v>500</v>
      </c>
      <c r="E62" s="39">
        <v>6</v>
      </c>
      <c r="F62" s="36" t="s">
        <v>501</v>
      </c>
      <c r="G62" s="37" t="s">
        <v>502</v>
      </c>
    </row>
    <row r="63" spans="1:7" ht="62.4" customHeight="1" x14ac:dyDescent="0.3">
      <c r="A63" s="40">
        <v>46258</v>
      </c>
      <c r="B63" s="19" t="s">
        <v>273</v>
      </c>
      <c r="C63" s="19" t="s">
        <v>18</v>
      </c>
      <c r="D63" s="36" t="s">
        <v>503</v>
      </c>
      <c r="E63" s="38">
        <v>7</v>
      </c>
      <c r="F63" s="36" t="s">
        <v>504</v>
      </c>
      <c r="G63" s="37" t="s">
        <v>505</v>
      </c>
    </row>
    <row r="64" spans="1:7" ht="62.4" customHeight="1" x14ac:dyDescent="0.3">
      <c r="A64" s="40">
        <v>46259</v>
      </c>
      <c r="B64" s="19" t="s">
        <v>277</v>
      </c>
      <c r="C64" s="19" t="s">
        <v>18</v>
      </c>
      <c r="D64" s="36" t="s">
        <v>506</v>
      </c>
      <c r="E64" s="39">
        <v>8</v>
      </c>
      <c r="F64" s="36" t="s">
        <v>507</v>
      </c>
      <c r="G64" s="37" t="s">
        <v>508</v>
      </c>
    </row>
    <row r="65" spans="1:7" ht="62.4" customHeight="1" x14ac:dyDescent="0.3">
      <c r="A65" s="40">
        <v>46260</v>
      </c>
      <c r="B65" s="19" t="s">
        <v>281</v>
      </c>
      <c r="C65" s="19" t="s">
        <v>18</v>
      </c>
      <c r="D65" s="36" t="s">
        <v>509</v>
      </c>
      <c r="E65" s="38">
        <v>8</v>
      </c>
      <c r="F65" s="36" t="s">
        <v>510</v>
      </c>
      <c r="G65" s="37" t="s">
        <v>511</v>
      </c>
    </row>
    <row r="66" spans="1:7" ht="62.4" customHeight="1" x14ac:dyDescent="0.3">
      <c r="A66" s="40">
        <v>46261</v>
      </c>
      <c r="B66" s="19" t="s">
        <v>285</v>
      </c>
      <c r="C66" s="19" t="s">
        <v>18</v>
      </c>
      <c r="D66" s="36" t="s">
        <v>512</v>
      </c>
      <c r="E66" s="39">
        <v>8</v>
      </c>
      <c r="F66" s="36" t="s">
        <v>513</v>
      </c>
      <c r="G66" s="37" t="s">
        <v>514</v>
      </c>
    </row>
    <row r="67" spans="1:7" ht="62.4" customHeight="1" x14ac:dyDescent="0.3">
      <c r="A67" s="40">
        <v>46262</v>
      </c>
      <c r="B67" s="19" t="s">
        <v>289</v>
      </c>
      <c r="C67" s="19" t="s">
        <v>18</v>
      </c>
      <c r="D67" s="36" t="s">
        <v>515</v>
      </c>
      <c r="E67" s="38">
        <v>4</v>
      </c>
      <c r="F67" s="36" t="s">
        <v>516</v>
      </c>
      <c r="G67" s="37" t="s">
        <v>517</v>
      </c>
    </row>
    <row r="68" spans="1:7" ht="62.4" customHeight="1" x14ac:dyDescent="0.3">
      <c r="A68" s="40">
        <v>46263</v>
      </c>
      <c r="B68" s="19" t="s">
        <v>293</v>
      </c>
      <c r="C68" s="19" t="s">
        <v>18</v>
      </c>
      <c r="D68" s="36" t="s">
        <v>518</v>
      </c>
      <c r="E68" s="39">
        <v>3</v>
      </c>
      <c r="F68" s="36" t="s">
        <v>519</v>
      </c>
      <c r="G68" s="37" t="s">
        <v>520</v>
      </c>
    </row>
    <row r="69" spans="1:7" ht="93.6" customHeight="1" x14ac:dyDescent="0.3">
      <c r="A69" s="40">
        <v>46264</v>
      </c>
      <c r="B69" s="19" t="s">
        <v>297</v>
      </c>
      <c r="C69" s="19" t="s">
        <v>18</v>
      </c>
      <c r="D69" s="36" t="s">
        <v>521</v>
      </c>
      <c r="E69" s="38">
        <v>5</v>
      </c>
      <c r="F69" s="36" t="s">
        <v>522</v>
      </c>
      <c r="G69" s="37" t="s">
        <v>523</v>
      </c>
    </row>
    <row r="70" spans="1:7" ht="78" customHeight="1" x14ac:dyDescent="0.3">
      <c r="A70" s="40">
        <v>46265</v>
      </c>
      <c r="B70" s="19" t="s">
        <v>302</v>
      </c>
      <c r="C70" s="19" t="s">
        <v>18</v>
      </c>
      <c r="D70" s="36" t="s">
        <v>456</v>
      </c>
      <c r="E70" s="39">
        <v>6</v>
      </c>
      <c r="F70" s="36" t="s">
        <v>457</v>
      </c>
      <c r="G70" s="37" t="s">
        <v>458</v>
      </c>
    </row>
    <row r="71" spans="1:7" ht="46.8" customHeight="1" x14ac:dyDescent="0.3">
      <c r="A71" s="40">
        <v>46266</v>
      </c>
      <c r="B71" s="19" t="s">
        <v>307</v>
      </c>
      <c r="C71" s="19" t="s">
        <v>18</v>
      </c>
      <c r="D71" s="36" t="s">
        <v>459</v>
      </c>
      <c r="E71" s="38">
        <v>5</v>
      </c>
      <c r="F71" s="36" t="s">
        <v>365</v>
      </c>
      <c r="G71" s="37" t="s">
        <v>460</v>
      </c>
    </row>
    <row r="72" spans="1:7" ht="46.8" customHeight="1" x14ac:dyDescent="0.3">
      <c r="A72" s="40">
        <v>46267</v>
      </c>
      <c r="B72" s="19" t="s">
        <v>312</v>
      </c>
      <c r="C72" s="19" t="s">
        <v>18</v>
      </c>
      <c r="D72" s="36" t="s">
        <v>461</v>
      </c>
      <c r="E72" s="39">
        <v>4</v>
      </c>
      <c r="F72" s="36" t="s">
        <v>365</v>
      </c>
      <c r="G72" s="37" t="s">
        <v>462</v>
      </c>
    </row>
    <row r="73" spans="1:7" ht="46.8" customHeight="1" x14ac:dyDescent="0.3">
      <c r="A73" s="40">
        <v>46268</v>
      </c>
      <c r="B73" s="19" t="s">
        <v>318</v>
      </c>
      <c r="C73" s="19" t="s">
        <v>18</v>
      </c>
      <c r="D73" s="36" t="s">
        <v>463</v>
      </c>
      <c r="E73" s="38">
        <v>5</v>
      </c>
      <c r="F73" s="36" t="s">
        <v>365</v>
      </c>
      <c r="G73" s="37" t="s">
        <v>464</v>
      </c>
    </row>
    <row r="74" spans="1:7" ht="46.8" customHeight="1" x14ac:dyDescent="0.3">
      <c r="A74" s="40">
        <v>46269</v>
      </c>
      <c r="B74" s="19" t="s">
        <v>323</v>
      </c>
      <c r="C74" s="19" t="s">
        <v>18</v>
      </c>
      <c r="D74" s="36" t="s">
        <v>465</v>
      </c>
      <c r="E74" s="39">
        <v>4</v>
      </c>
      <c r="F74" s="36" t="s">
        <v>365</v>
      </c>
      <c r="G74" s="37" t="s">
        <v>466</v>
      </c>
    </row>
  </sheetData>
  <autoFilter ref="A1:G1" xr:uid="{00000000-0009-0000-0000-000003000000}"/>
  <pageMargins left="0.25" right="0.25" top="0.5" bottom="0.5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47D83"/>
    <pageSetUpPr fitToPage="1"/>
  </sheetPr>
  <dimension ref="A1:I29"/>
  <sheetViews>
    <sheetView showGridLines="0" topLeftCell="B1" zoomScale="80" workbookViewId="0">
      <pane ySplit="1" topLeftCell="A2" activePane="bottomLeft" state="frozen"/>
      <selection pane="bottomLeft" activeCell="E1" sqref="E1"/>
    </sheetView>
  </sheetViews>
  <sheetFormatPr defaultRowHeight="21" x14ac:dyDescent="0.3"/>
  <cols>
    <col min="1" max="1" width="24" style="17" customWidth="1"/>
    <col min="2" max="2" width="13" style="17" customWidth="1"/>
    <col min="3" max="3" width="48" style="17" customWidth="1"/>
    <col min="4" max="4" width="50" style="17" customWidth="1"/>
    <col min="5" max="5" width="16" style="21" customWidth="1"/>
    <col min="6" max="6" width="52" customWidth="1"/>
    <col min="7" max="7" width="86" customWidth="1"/>
    <col min="8" max="8" width="52" customWidth="1"/>
    <col min="9" max="9" width="34" style="15" customWidth="1"/>
  </cols>
  <sheetData>
    <row r="1" spans="1:9" ht="42" customHeight="1" x14ac:dyDescent="0.3">
      <c r="A1" s="33" t="s">
        <v>41</v>
      </c>
      <c r="B1" s="33" t="s">
        <v>38</v>
      </c>
      <c r="C1" s="33" t="s">
        <v>524</v>
      </c>
      <c r="D1" s="33" t="s">
        <v>525</v>
      </c>
      <c r="E1" s="33" t="s">
        <v>775</v>
      </c>
      <c r="F1" s="22" t="s">
        <v>526</v>
      </c>
      <c r="G1" s="22" t="s">
        <v>527</v>
      </c>
      <c r="H1" s="22" t="s">
        <v>528</v>
      </c>
      <c r="I1" s="16" t="s">
        <v>529</v>
      </c>
    </row>
    <row r="2" spans="1:9" ht="55.95" customHeight="1" x14ac:dyDescent="0.3">
      <c r="A2" s="41">
        <v>46248</v>
      </c>
      <c r="B2" s="32" t="s">
        <v>60</v>
      </c>
      <c r="C2" s="32" t="s">
        <v>61</v>
      </c>
      <c r="D2" s="32" t="s">
        <v>530</v>
      </c>
      <c r="E2" s="20">
        <v>3</v>
      </c>
      <c r="F2" s="24" t="s">
        <v>467</v>
      </c>
      <c r="G2" s="23" t="s">
        <v>468</v>
      </c>
      <c r="H2" s="24" t="s">
        <v>469</v>
      </c>
      <c r="I2" s="31" t="s">
        <v>531</v>
      </c>
    </row>
    <row r="3" spans="1:9" ht="55.95" customHeight="1" x14ac:dyDescent="0.3">
      <c r="A3" s="41">
        <v>46249</v>
      </c>
      <c r="B3" s="32" t="s">
        <v>69</v>
      </c>
      <c r="C3" s="32" t="s">
        <v>70</v>
      </c>
      <c r="D3" s="32" t="s">
        <v>530</v>
      </c>
      <c r="E3" s="20">
        <v>4</v>
      </c>
      <c r="F3" s="24" t="s">
        <v>470</v>
      </c>
      <c r="G3" s="23" t="s">
        <v>471</v>
      </c>
      <c r="H3" s="24" t="s">
        <v>472</v>
      </c>
      <c r="I3" s="31" t="s">
        <v>531</v>
      </c>
    </row>
    <row r="4" spans="1:9" ht="55.95" customHeight="1" x14ac:dyDescent="0.3">
      <c r="A4" s="41">
        <v>46250</v>
      </c>
      <c r="B4" s="32" t="s">
        <v>73</v>
      </c>
      <c r="C4" s="32" t="s">
        <v>74</v>
      </c>
      <c r="D4" s="32" t="s">
        <v>530</v>
      </c>
      <c r="E4" s="20">
        <v>4</v>
      </c>
      <c r="F4" s="24" t="s">
        <v>473</v>
      </c>
      <c r="G4" s="23" t="s">
        <v>353</v>
      </c>
      <c r="H4" s="24" t="s">
        <v>474</v>
      </c>
      <c r="I4" s="31" t="s">
        <v>531</v>
      </c>
    </row>
    <row r="5" spans="1:9" ht="55.95" customHeight="1" x14ac:dyDescent="0.3">
      <c r="A5" s="41">
        <v>46251</v>
      </c>
      <c r="B5" s="32" t="s">
        <v>77</v>
      </c>
      <c r="C5" s="32" t="s">
        <v>78</v>
      </c>
      <c r="D5" s="32" t="s">
        <v>530</v>
      </c>
      <c r="E5" s="20">
        <v>5</v>
      </c>
      <c r="F5" s="24" t="s">
        <v>475</v>
      </c>
      <c r="G5" s="23" t="s">
        <v>468</v>
      </c>
      <c r="H5" s="24" t="s">
        <v>469</v>
      </c>
      <c r="I5" s="31" t="s">
        <v>531</v>
      </c>
    </row>
    <row r="6" spans="1:9" ht="55.95" customHeight="1" x14ac:dyDescent="0.3">
      <c r="A6" s="41">
        <v>46252</v>
      </c>
      <c r="B6" s="32" t="s">
        <v>80</v>
      </c>
      <c r="C6" s="32" t="s">
        <v>81</v>
      </c>
      <c r="D6" s="32" t="s">
        <v>530</v>
      </c>
      <c r="E6" s="20">
        <v>4</v>
      </c>
      <c r="F6" s="24" t="s">
        <v>476</v>
      </c>
      <c r="G6" s="23" t="s">
        <v>353</v>
      </c>
      <c r="H6" s="24" t="s">
        <v>474</v>
      </c>
      <c r="I6" s="31" t="s">
        <v>531</v>
      </c>
    </row>
    <row r="7" spans="1:9" ht="55.95" customHeight="1" x14ac:dyDescent="0.3">
      <c r="A7" s="41">
        <v>46253</v>
      </c>
      <c r="B7" s="32" t="s">
        <v>234</v>
      </c>
      <c r="C7" s="32" t="s">
        <v>235</v>
      </c>
      <c r="D7" s="32" t="s">
        <v>530</v>
      </c>
      <c r="E7" s="20">
        <v>5</v>
      </c>
      <c r="F7" s="24" t="s">
        <v>477</v>
      </c>
      <c r="G7" s="23" t="s">
        <v>478</v>
      </c>
      <c r="H7" s="24" t="s">
        <v>479</v>
      </c>
      <c r="I7" s="31" t="s">
        <v>531</v>
      </c>
    </row>
    <row r="8" spans="1:9" ht="55.95" customHeight="1" x14ac:dyDescent="0.3">
      <c r="A8" s="41">
        <v>46254</v>
      </c>
      <c r="B8" s="32" t="s">
        <v>239</v>
      </c>
      <c r="C8" s="32" t="s">
        <v>240</v>
      </c>
      <c r="D8" s="32" t="s">
        <v>530</v>
      </c>
      <c r="E8" s="20">
        <v>4</v>
      </c>
      <c r="F8" s="24" t="s">
        <v>480</v>
      </c>
      <c r="G8" s="23" t="s">
        <v>481</v>
      </c>
      <c r="H8" s="24" t="s">
        <v>482</v>
      </c>
      <c r="I8" s="31" t="s">
        <v>531</v>
      </c>
    </row>
    <row r="9" spans="1:9" ht="55.95" customHeight="1" x14ac:dyDescent="0.3">
      <c r="A9" s="41">
        <v>46255</v>
      </c>
      <c r="B9" s="32" t="s">
        <v>242</v>
      </c>
      <c r="C9" s="32" t="s">
        <v>243</v>
      </c>
      <c r="D9" s="32" t="s">
        <v>530</v>
      </c>
      <c r="E9" s="20">
        <v>5</v>
      </c>
      <c r="F9" s="24" t="s">
        <v>483</v>
      </c>
      <c r="G9" s="23" t="s">
        <v>478</v>
      </c>
      <c r="H9" s="24" t="s">
        <v>479</v>
      </c>
      <c r="I9" s="31" t="s">
        <v>531</v>
      </c>
    </row>
    <row r="10" spans="1:9" ht="55.95" customHeight="1" x14ac:dyDescent="0.3">
      <c r="A10" s="41">
        <v>46256</v>
      </c>
      <c r="B10" s="32" t="s">
        <v>244</v>
      </c>
      <c r="C10" s="32" t="s">
        <v>245</v>
      </c>
      <c r="D10" s="32" t="s">
        <v>530</v>
      </c>
      <c r="E10" s="20">
        <v>7</v>
      </c>
      <c r="F10" s="24" t="s">
        <v>484</v>
      </c>
      <c r="G10" s="23" t="s">
        <v>478</v>
      </c>
      <c r="H10" s="24" t="s">
        <v>479</v>
      </c>
      <c r="I10" s="31" t="s">
        <v>531</v>
      </c>
    </row>
    <row r="11" spans="1:9" ht="55.95" customHeight="1" x14ac:dyDescent="0.3">
      <c r="A11" s="41">
        <v>46257</v>
      </c>
      <c r="B11" s="32" t="s">
        <v>246</v>
      </c>
      <c r="C11" s="32" t="s">
        <v>247</v>
      </c>
      <c r="D11" s="32" t="s">
        <v>530</v>
      </c>
      <c r="E11" s="20">
        <v>3</v>
      </c>
      <c r="F11" s="24" t="s">
        <v>485</v>
      </c>
      <c r="G11" s="23" t="s">
        <v>486</v>
      </c>
      <c r="H11" s="24" t="s">
        <v>487</v>
      </c>
      <c r="I11" s="31" t="s">
        <v>531</v>
      </c>
    </row>
    <row r="12" spans="1:9" ht="55.95" customHeight="1" x14ac:dyDescent="0.3">
      <c r="A12" s="41">
        <v>46258</v>
      </c>
      <c r="B12" s="32" t="s">
        <v>250</v>
      </c>
      <c r="C12" s="32" t="s">
        <v>251</v>
      </c>
      <c r="D12" s="32" t="s">
        <v>530</v>
      </c>
      <c r="E12" s="20">
        <v>7</v>
      </c>
      <c r="F12" s="24" t="s">
        <v>488</v>
      </c>
      <c r="G12" s="23" t="s">
        <v>489</v>
      </c>
      <c r="H12" s="24" t="s">
        <v>490</v>
      </c>
      <c r="I12" s="31" t="s">
        <v>531</v>
      </c>
    </row>
    <row r="13" spans="1:9" ht="55.95" customHeight="1" x14ac:dyDescent="0.3">
      <c r="A13" s="41">
        <v>46259</v>
      </c>
      <c r="B13" s="32" t="s">
        <v>254</v>
      </c>
      <c r="C13" s="32" t="s">
        <v>255</v>
      </c>
      <c r="D13" s="32" t="s">
        <v>530</v>
      </c>
      <c r="E13" s="20">
        <v>5</v>
      </c>
      <c r="F13" s="24" t="s">
        <v>491</v>
      </c>
      <c r="G13" s="23" t="s">
        <v>492</v>
      </c>
      <c r="H13" s="24" t="s">
        <v>493</v>
      </c>
      <c r="I13" s="31" t="s">
        <v>531</v>
      </c>
    </row>
    <row r="14" spans="1:9" ht="55.95" customHeight="1" x14ac:dyDescent="0.3">
      <c r="A14" s="41">
        <v>46260</v>
      </c>
      <c r="B14" s="32" t="s">
        <v>258</v>
      </c>
      <c r="C14" s="32" t="s">
        <v>259</v>
      </c>
      <c r="D14" s="32" t="s">
        <v>530</v>
      </c>
      <c r="E14" s="20">
        <v>5</v>
      </c>
      <c r="F14" s="24" t="s">
        <v>494</v>
      </c>
      <c r="G14" s="23" t="s">
        <v>495</v>
      </c>
      <c r="H14" s="24" t="s">
        <v>496</v>
      </c>
      <c r="I14" s="31" t="s">
        <v>531</v>
      </c>
    </row>
    <row r="15" spans="1:9" ht="55.95" customHeight="1" x14ac:dyDescent="0.3">
      <c r="A15" s="41">
        <v>46261</v>
      </c>
      <c r="B15" s="32" t="s">
        <v>261</v>
      </c>
      <c r="C15" s="32" t="s">
        <v>262</v>
      </c>
      <c r="D15" s="32" t="s">
        <v>530</v>
      </c>
      <c r="E15" s="20">
        <v>4</v>
      </c>
      <c r="F15" s="24" t="s">
        <v>497</v>
      </c>
      <c r="G15" s="23" t="s">
        <v>495</v>
      </c>
      <c r="H15" s="24" t="s">
        <v>496</v>
      </c>
      <c r="I15" s="31" t="s">
        <v>531</v>
      </c>
    </row>
    <row r="16" spans="1:9" ht="55.95" customHeight="1" x14ac:dyDescent="0.3">
      <c r="A16" s="41">
        <v>46262</v>
      </c>
      <c r="B16" s="32" t="s">
        <v>264</v>
      </c>
      <c r="C16" s="32" t="s">
        <v>265</v>
      </c>
      <c r="D16" s="32" t="s">
        <v>530</v>
      </c>
      <c r="E16" s="20">
        <v>5</v>
      </c>
      <c r="F16" s="24" t="s">
        <v>498</v>
      </c>
      <c r="G16" s="23" t="s">
        <v>365</v>
      </c>
      <c r="H16" s="24" t="s">
        <v>499</v>
      </c>
      <c r="I16" s="31" t="s">
        <v>531</v>
      </c>
    </row>
    <row r="17" spans="1:9" ht="55.95" customHeight="1" x14ac:dyDescent="0.3">
      <c r="A17" s="41">
        <v>46263</v>
      </c>
      <c r="B17" s="32" t="s">
        <v>268</v>
      </c>
      <c r="C17" s="32" t="s">
        <v>269</v>
      </c>
      <c r="D17" s="32" t="s">
        <v>530</v>
      </c>
      <c r="E17" s="20">
        <v>6</v>
      </c>
      <c r="F17" s="24" t="s">
        <v>500</v>
      </c>
      <c r="G17" s="23" t="s">
        <v>501</v>
      </c>
      <c r="H17" s="24" t="s">
        <v>502</v>
      </c>
      <c r="I17" s="31" t="s">
        <v>531</v>
      </c>
    </row>
    <row r="18" spans="1:9" ht="55.95" customHeight="1" x14ac:dyDescent="0.3">
      <c r="A18" s="41">
        <v>46264</v>
      </c>
      <c r="B18" s="32" t="s">
        <v>273</v>
      </c>
      <c r="C18" s="32" t="s">
        <v>274</v>
      </c>
      <c r="D18" s="32" t="s">
        <v>530</v>
      </c>
      <c r="E18" s="20">
        <v>7</v>
      </c>
      <c r="F18" s="24" t="s">
        <v>503</v>
      </c>
      <c r="G18" s="23" t="s">
        <v>504</v>
      </c>
      <c r="H18" s="24" t="s">
        <v>505</v>
      </c>
      <c r="I18" s="31" t="s">
        <v>531</v>
      </c>
    </row>
    <row r="19" spans="1:9" ht="55.95" customHeight="1" x14ac:dyDescent="0.3">
      <c r="A19" s="41">
        <v>46265</v>
      </c>
      <c r="B19" s="32" t="s">
        <v>277</v>
      </c>
      <c r="C19" s="32" t="s">
        <v>278</v>
      </c>
      <c r="D19" s="32" t="s">
        <v>530</v>
      </c>
      <c r="E19" s="20">
        <v>8</v>
      </c>
      <c r="F19" s="24" t="s">
        <v>506</v>
      </c>
      <c r="G19" s="23" t="s">
        <v>507</v>
      </c>
      <c r="H19" s="24" t="s">
        <v>508</v>
      </c>
      <c r="I19" s="31" t="s">
        <v>531</v>
      </c>
    </row>
    <row r="20" spans="1:9" ht="55.95" customHeight="1" x14ac:dyDescent="0.3">
      <c r="A20" s="41">
        <v>46266</v>
      </c>
      <c r="B20" s="32" t="s">
        <v>281</v>
      </c>
      <c r="C20" s="32" t="s">
        <v>282</v>
      </c>
      <c r="D20" s="32" t="s">
        <v>530</v>
      </c>
      <c r="E20" s="20">
        <v>8</v>
      </c>
      <c r="F20" s="24" t="s">
        <v>509</v>
      </c>
      <c r="G20" s="23" t="s">
        <v>510</v>
      </c>
      <c r="H20" s="24" t="s">
        <v>511</v>
      </c>
      <c r="I20" s="31" t="s">
        <v>531</v>
      </c>
    </row>
    <row r="21" spans="1:9" ht="55.95" customHeight="1" x14ac:dyDescent="0.3">
      <c r="A21" s="41">
        <v>46267</v>
      </c>
      <c r="B21" s="32" t="s">
        <v>285</v>
      </c>
      <c r="C21" s="32" t="s">
        <v>286</v>
      </c>
      <c r="D21" s="32" t="s">
        <v>530</v>
      </c>
      <c r="E21" s="20">
        <v>8</v>
      </c>
      <c r="F21" s="24" t="s">
        <v>512</v>
      </c>
      <c r="G21" s="23" t="s">
        <v>513</v>
      </c>
      <c r="H21" s="24" t="s">
        <v>514</v>
      </c>
      <c r="I21" s="31" t="s">
        <v>531</v>
      </c>
    </row>
    <row r="22" spans="1:9" ht="55.95" customHeight="1" x14ac:dyDescent="0.3">
      <c r="A22" s="41">
        <v>46268</v>
      </c>
      <c r="B22" s="32" t="s">
        <v>289</v>
      </c>
      <c r="C22" s="32" t="s">
        <v>290</v>
      </c>
      <c r="D22" s="32" t="s">
        <v>530</v>
      </c>
      <c r="E22" s="20">
        <v>4</v>
      </c>
      <c r="F22" s="24" t="s">
        <v>515</v>
      </c>
      <c r="G22" s="23" t="s">
        <v>516</v>
      </c>
      <c r="H22" s="24" t="s">
        <v>517</v>
      </c>
      <c r="I22" s="31" t="s">
        <v>531</v>
      </c>
    </row>
    <row r="23" spans="1:9" ht="55.95" customHeight="1" x14ac:dyDescent="0.3">
      <c r="A23" s="41">
        <v>46269</v>
      </c>
      <c r="B23" s="32" t="s">
        <v>293</v>
      </c>
      <c r="C23" s="32" t="s">
        <v>294</v>
      </c>
      <c r="D23" s="32" t="s">
        <v>530</v>
      </c>
      <c r="E23" s="20">
        <v>3</v>
      </c>
      <c r="F23" s="24" t="s">
        <v>518</v>
      </c>
      <c r="G23" s="23" t="s">
        <v>519</v>
      </c>
      <c r="H23" s="24" t="s">
        <v>520</v>
      </c>
      <c r="I23" s="31" t="s">
        <v>531</v>
      </c>
    </row>
    <row r="24" spans="1:9" ht="55.95" customHeight="1" x14ac:dyDescent="0.3">
      <c r="A24" s="41">
        <v>46270</v>
      </c>
      <c r="B24" s="32" t="s">
        <v>297</v>
      </c>
      <c r="C24" s="32" t="s">
        <v>298</v>
      </c>
      <c r="D24" s="32" t="s">
        <v>530</v>
      </c>
      <c r="E24" s="20">
        <v>5</v>
      </c>
      <c r="F24" s="24" t="s">
        <v>521</v>
      </c>
      <c r="G24" s="23" t="s">
        <v>522</v>
      </c>
      <c r="H24" s="24" t="s">
        <v>523</v>
      </c>
      <c r="I24" s="31" t="s">
        <v>531</v>
      </c>
    </row>
    <row r="25" spans="1:9" ht="55.95" customHeight="1" x14ac:dyDescent="0.3">
      <c r="A25" s="41">
        <v>46271</v>
      </c>
      <c r="B25" s="32" t="s">
        <v>302</v>
      </c>
      <c r="C25" s="32" t="s">
        <v>303</v>
      </c>
      <c r="D25" s="32" t="s">
        <v>532</v>
      </c>
      <c r="E25" s="20">
        <v>6</v>
      </c>
      <c r="F25" s="24" t="s">
        <v>456</v>
      </c>
      <c r="G25" s="23" t="s">
        <v>457</v>
      </c>
      <c r="H25" s="24" t="s">
        <v>458</v>
      </c>
      <c r="I25" s="31" t="s">
        <v>531</v>
      </c>
    </row>
    <row r="26" spans="1:9" ht="55.95" customHeight="1" x14ac:dyDescent="0.3">
      <c r="A26" s="41">
        <v>46272</v>
      </c>
      <c r="B26" s="32" t="s">
        <v>307</v>
      </c>
      <c r="C26" s="32" t="s">
        <v>308</v>
      </c>
      <c r="D26" s="32" t="s">
        <v>532</v>
      </c>
      <c r="E26" s="20">
        <v>5</v>
      </c>
      <c r="F26" s="24" t="s">
        <v>459</v>
      </c>
      <c r="G26" s="23" t="s">
        <v>365</v>
      </c>
      <c r="H26" s="24" t="s">
        <v>460</v>
      </c>
      <c r="I26" s="31" t="s">
        <v>531</v>
      </c>
    </row>
    <row r="27" spans="1:9" ht="55.95" customHeight="1" x14ac:dyDescent="0.3">
      <c r="A27" s="41">
        <v>46273</v>
      </c>
      <c r="B27" s="32" t="s">
        <v>312</v>
      </c>
      <c r="C27" s="32" t="s">
        <v>313</v>
      </c>
      <c r="D27" s="32" t="s">
        <v>532</v>
      </c>
      <c r="E27" s="20">
        <v>4</v>
      </c>
      <c r="F27" s="24" t="s">
        <v>461</v>
      </c>
      <c r="G27" s="23" t="s">
        <v>365</v>
      </c>
      <c r="H27" s="24" t="s">
        <v>462</v>
      </c>
      <c r="I27" s="31" t="s">
        <v>531</v>
      </c>
    </row>
    <row r="28" spans="1:9" ht="55.95" customHeight="1" x14ac:dyDescent="0.3">
      <c r="A28" s="41">
        <v>46274</v>
      </c>
      <c r="B28" s="32" t="s">
        <v>318</v>
      </c>
      <c r="C28" s="32" t="s">
        <v>319</v>
      </c>
      <c r="D28" s="32" t="s">
        <v>532</v>
      </c>
      <c r="E28" s="20">
        <v>5</v>
      </c>
      <c r="F28" s="24" t="s">
        <v>463</v>
      </c>
      <c r="G28" s="23" t="s">
        <v>365</v>
      </c>
      <c r="H28" s="24" t="s">
        <v>464</v>
      </c>
      <c r="I28" s="31" t="s">
        <v>531</v>
      </c>
    </row>
    <row r="29" spans="1:9" ht="55.95" customHeight="1" x14ac:dyDescent="0.3">
      <c r="A29" s="41">
        <v>46275</v>
      </c>
      <c r="B29" s="32" t="s">
        <v>323</v>
      </c>
      <c r="C29" s="32" t="s">
        <v>324</v>
      </c>
      <c r="D29" s="32" t="s">
        <v>532</v>
      </c>
      <c r="E29" s="20">
        <v>4</v>
      </c>
      <c r="F29" s="24" t="s">
        <v>465</v>
      </c>
      <c r="G29" s="23" t="s">
        <v>365</v>
      </c>
      <c r="H29" s="24" t="s">
        <v>466</v>
      </c>
      <c r="I29" s="31" t="s">
        <v>531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47D83"/>
    <pageSetUpPr fitToPage="1"/>
  </sheetPr>
  <dimension ref="A1:I46"/>
  <sheetViews>
    <sheetView showGridLines="0" tabSelected="1" zoomScale="70" zoomScaleNormal="70" workbookViewId="0">
      <pane ySplit="1" topLeftCell="A2" activePane="bottomLeft" state="frozen"/>
      <selection pane="bottomLeft" activeCell="E2" sqref="E2"/>
    </sheetView>
  </sheetViews>
  <sheetFormatPr defaultRowHeight="21" x14ac:dyDescent="0.3"/>
  <cols>
    <col min="1" max="1" width="24" style="28" customWidth="1"/>
    <col min="2" max="2" width="13" style="19" customWidth="1"/>
    <col min="3" max="3" width="48" style="28" customWidth="1"/>
    <col min="4" max="4" width="50" style="28" customWidth="1"/>
    <col min="5" max="5" width="16" style="21" customWidth="1"/>
    <col min="6" max="6" width="52" style="28" customWidth="1"/>
    <col min="7" max="7" width="86" style="28" customWidth="1"/>
    <col min="8" max="8" width="52" style="28" customWidth="1"/>
    <col min="9" max="9" width="34" style="28" customWidth="1"/>
  </cols>
  <sheetData>
    <row r="1" spans="1:9" ht="42" customHeight="1" x14ac:dyDescent="0.3">
      <c r="A1" s="18" t="s">
        <v>347</v>
      </c>
      <c r="B1" s="18" t="s">
        <v>38</v>
      </c>
      <c r="C1" s="25" t="s">
        <v>524</v>
      </c>
      <c r="D1" s="25" t="s">
        <v>525</v>
      </c>
      <c r="E1" s="18" t="s">
        <v>775</v>
      </c>
      <c r="F1" s="25" t="s">
        <v>526</v>
      </c>
      <c r="G1" s="25" t="s">
        <v>527</v>
      </c>
      <c r="H1" s="25" t="s">
        <v>528</v>
      </c>
      <c r="I1" s="25" t="s">
        <v>529</v>
      </c>
    </row>
    <row r="2" spans="1:9" ht="55.95" customHeight="1" x14ac:dyDescent="0.3">
      <c r="A2" s="42">
        <v>46248</v>
      </c>
      <c r="B2" s="26" t="s">
        <v>50</v>
      </c>
      <c r="C2" s="27" t="s">
        <v>51</v>
      </c>
      <c r="D2" s="27" t="s">
        <v>533</v>
      </c>
      <c r="E2" s="20">
        <v>3</v>
      </c>
      <c r="F2" s="29" t="s">
        <v>352</v>
      </c>
      <c r="G2" s="27" t="s">
        <v>353</v>
      </c>
      <c r="H2" s="29" t="s">
        <v>354</v>
      </c>
      <c r="I2" s="30" t="s">
        <v>531</v>
      </c>
    </row>
    <row r="3" spans="1:9" ht="55.95" customHeight="1" x14ac:dyDescent="0.3">
      <c r="A3" s="42">
        <v>46249</v>
      </c>
      <c r="B3" s="26" t="s">
        <v>64</v>
      </c>
      <c r="C3" s="27" t="s">
        <v>65</v>
      </c>
      <c r="D3" s="27" t="s">
        <v>533</v>
      </c>
      <c r="E3" s="20">
        <v>3</v>
      </c>
      <c r="F3" s="29" t="s">
        <v>355</v>
      </c>
      <c r="G3" s="27" t="s">
        <v>356</v>
      </c>
      <c r="H3" s="29" t="s">
        <v>357</v>
      </c>
      <c r="I3" s="30" t="s">
        <v>531</v>
      </c>
    </row>
    <row r="4" spans="1:9" ht="55.95" customHeight="1" x14ac:dyDescent="0.3">
      <c r="A4" s="42">
        <v>46250</v>
      </c>
      <c r="B4" s="26" t="s">
        <v>83</v>
      </c>
      <c r="C4" s="27" t="s">
        <v>84</v>
      </c>
      <c r="D4" s="27" t="s">
        <v>533</v>
      </c>
      <c r="E4" s="20">
        <v>6</v>
      </c>
      <c r="F4" s="29" t="s">
        <v>358</v>
      </c>
      <c r="G4" s="27" t="s">
        <v>359</v>
      </c>
      <c r="H4" s="29" t="s">
        <v>360</v>
      </c>
      <c r="I4" s="30" t="s">
        <v>531</v>
      </c>
    </row>
    <row r="5" spans="1:9" ht="55.95" customHeight="1" x14ac:dyDescent="0.3">
      <c r="A5" s="42">
        <v>46251</v>
      </c>
      <c r="B5" s="26" t="s">
        <v>88</v>
      </c>
      <c r="C5" s="27" t="s">
        <v>89</v>
      </c>
      <c r="D5" s="27" t="s">
        <v>533</v>
      </c>
      <c r="E5" s="20">
        <v>5</v>
      </c>
      <c r="F5" s="29" t="s">
        <v>361</v>
      </c>
      <c r="G5" s="27" t="s">
        <v>362</v>
      </c>
      <c r="H5" s="29" t="s">
        <v>363</v>
      </c>
      <c r="I5" s="30" t="s">
        <v>531</v>
      </c>
    </row>
    <row r="6" spans="1:9" ht="55.95" customHeight="1" x14ac:dyDescent="0.3">
      <c r="A6" s="42">
        <v>46252</v>
      </c>
      <c r="B6" s="26" t="s">
        <v>92</v>
      </c>
      <c r="C6" s="27" t="s">
        <v>93</v>
      </c>
      <c r="D6" s="27" t="s">
        <v>533</v>
      </c>
      <c r="E6" s="20">
        <v>6</v>
      </c>
      <c r="F6" s="29" t="s">
        <v>364</v>
      </c>
      <c r="G6" s="27" t="s">
        <v>365</v>
      </c>
      <c r="H6" s="29" t="s">
        <v>366</v>
      </c>
      <c r="I6" s="30" t="s">
        <v>531</v>
      </c>
    </row>
    <row r="7" spans="1:9" ht="55.95" customHeight="1" x14ac:dyDescent="0.3">
      <c r="A7" s="42">
        <v>46253</v>
      </c>
      <c r="B7" s="26" t="s">
        <v>97</v>
      </c>
      <c r="C7" s="27" t="s">
        <v>98</v>
      </c>
      <c r="D7" s="27" t="s">
        <v>533</v>
      </c>
      <c r="E7" s="20">
        <v>6</v>
      </c>
      <c r="F7" s="29" t="s">
        <v>367</v>
      </c>
      <c r="G7" s="27" t="s">
        <v>368</v>
      </c>
      <c r="H7" s="29" t="s">
        <v>369</v>
      </c>
      <c r="I7" s="30" t="s">
        <v>531</v>
      </c>
    </row>
    <row r="8" spans="1:9" ht="55.95" customHeight="1" x14ac:dyDescent="0.3">
      <c r="A8" s="42">
        <v>46254</v>
      </c>
      <c r="B8" s="26" t="s">
        <v>101</v>
      </c>
      <c r="C8" s="27" t="s">
        <v>102</v>
      </c>
      <c r="D8" s="27" t="s">
        <v>533</v>
      </c>
      <c r="E8" s="20">
        <v>7</v>
      </c>
      <c r="F8" s="29" t="s">
        <v>370</v>
      </c>
      <c r="G8" s="27" t="s">
        <v>371</v>
      </c>
      <c r="H8" s="29" t="s">
        <v>372</v>
      </c>
      <c r="I8" s="30" t="s">
        <v>531</v>
      </c>
    </row>
    <row r="9" spans="1:9" ht="55.95" customHeight="1" x14ac:dyDescent="0.3">
      <c r="A9" s="42">
        <v>46255</v>
      </c>
      <c r="B9" s="26" t="s">
        <v>106</v>
      </c>
      <c r="C9" s="27" t="s">
        <v>107</v>
      </c>
      <c r="D9" s="27" t="s">
        <v>533</v>
      </c>
      <c r="E9" s="20">
        <v>7</v>
      </c>
      <c r="F9" s="29" t="s">
        <v>373</v>
      </c>
      <c r="G9" s="27" t="s">
        <v>371</v>
      </c>
      <c r="H9" s="29" t="s">
        <v>372</v>
      </c>
      <c r="I9" s="30" t="s">
        <v>531</v>
      </c>
    </row>
    <row r="10" spans="1:9" ht="55.95" customHeight="1" x14ac:dyDescent="0.3">
      <c r="A10" s="42">
        <v>46256</v>
      </c>
      <c r="B10" s="26" t="s">
        <v>109</v>
      </c>
      <c r="C10" s="27" t="s">
        <v>110</v>
      </c>
      <c r="D10" s="27" t="s">
        <v>533</v>
      </c>
      <c r="E10" s="20">
        <v>5</v>
      </c>
      <c r="F10" s="29" t="s">
        <v>374</v>
      </c>
      <c r="G10" s="27" t="s">
        <v>371</v>
      </c>
      <c r="H10" s="29" t="s">
        <v>372</v>
      </c>
      <c r="I10" s="30" t="s">
        <v>531</v>
      </c>
    </row>
    <row r="11" spans="1:9" ht="55.95" customHeight="1" x14ac:dyDescent="0.3">
      <c r="A11" s="42">
        <v>46257</v>
      </c>
      <c r="B11" s="26" t="s">
        <v>111</v>
      </c>
      <c r="C11" s="27" t="s">
        <v>112</v>
      </c>
      <c r="D11" s="27" t="s">
        <v>533</v>
      </c>
      <c r="E11" s="20">
        <v>4</v>
      </c>
      <c r="F11" s="29" t="s">
        <v>375</v>
      </c>
      <c r="G11" s="27" t="s">
        <v>376</v>
      </c>
      <c r="H11" s="29" t="s">
        <v>377</v>
      </c>
      <c r="I11" s="30" t="s">
        <v>531</v>
      </c>
    </row>
    <row r="12" spans="1:9" ht="55.95" customHeight="1" x14ac:dyDescent="0.3">
      <c r="A12" s="42">
        <v>46258</v>
      </c>
      <c r="B12" s="26" t="s">
        <v>116</v>
      </c>
      <c r="C12" s="27" t="s">
        <v>117</v>
      </c>
      <c r="D12" s="27" t="s">
        <v>533</v>
      </c>
      <c r="E12" s="20">
        <v>7</v>
      </c>
      <c r="F12" s="29" t="s">
        <v>378</v>
      </c>
      <c r="G12" s="27" t="s">
        <v>379</v>
      </c>
      <c r="H12" s="29" t="s">
        <v>380</v>
      </c>
      <c r="I12" s="30" t="s">
        <v>531</v>
      </c>
    </row>
    <row r="13" spans="1:9" ht="55.95" customHeight="1" x14ac:dyDescent="0.3">
      <c r="A13" s="42">
        <v>46259</v>
      </c>
      <c r="B13" s="26" t="s">
        <v>120</v>
      </c>
      <c r="C13" s="27" t="s">
        <v>121</v>
      </c>
      <c r="D13" s="27" t="s">
        <v>533</v>
      </c>
      <c r="E13" s="20">
        <v>9</v>
      </c>
      <c r="F13" s="29" t="s">
        <v>381</v>
      </c>
      <c r="G13" s="27" t="s">
        <v>379</v>
      </c>
      <c r="H13" s="29" t="s">
        <v>380</v>
      </c>
      <c r="I13" s="30" t="s">
        <v>531</v>
      </c>
    </row>
    <row r="14" spans="1:9" ht="55.95" customHeight="1" x14ac:dyDescent="0.3">
      <c r="A14" s="42">
        <v>46260</v>
      </c>
      <c r="B14" s="26" t="s">
        <v>123</v>
      </c>
      <c r="C14" s="27" t="s">
        <v>124</v>
      </c>
      <c r="D14" s="27" t="s">
        <v>533</v>
      </c>
      <c r="E14" s="20">
        <v>6</v>
      </c>
      <c r="F14" s="29" t="s">
        <v>382</v>
      </c>
      <c r="G14" s="27" t="s">
        <v>383</v>
      </c>
      <c r="H14" s="29" t="s">
        <v>384</v>
      </c>
      <c r="I14" s="30" t="s">
        <v>531</v>
      </c>
    </row>
    <row r="15" spans="1:9" ht="55.95" customHeight="1" x14ac:dyDescent="0.3">
      <c r="A15" s="42">
        <v>46261</v>
      </c>
      <c r="B15" s="26" t="s">
        <v>128</v>
      </c>
      <c r="C15" s="27" t="s">
        <v>129</v>
      </c>
      <c r="D15" s="27" t="s">
        <v>533</v>
      </c>
      <c r="E15" s="20">
        <v>5</v>
      </c>
      <c r="F15" s="29" t="s">
        <v>385</v>
      </c>
      <c r="G15" s="27" t="s">
        <v>386</v>
      </c>
      <c r="H15" s="29" t="s">
        <v>387</v>
      </c>
      <c r="I15" s="30" t="s">
        <v>531</v>
      </c>
    </row>
    <row r="16" spans="1:9" ht="55.95" customHeight="1" x14ac:dyDescent="0.3">
      <c r="A16" s="42">
        <v>46262</v>
      </c>
      <c r="B16" s="26" t="s">
        <v>132</v>
      </c>
      <c r="C16" s="27" t="s">
        <v>133</v>
      </c>
      <c r="D16" s="27" t="s">
        <v>533</v>
      </c>
      <c r="E16" s="20">
        <v>6</v>
      </c>
      <c r="F16" s="29" t="s">
        <v>388</v>
      </c>
      <c r="G16" s="27" t="s">
        <v>383</v>
      </c>
      <c r="H16" s="29" t="s">
        <v>384</v>
      </c>
      <c r="I16" s="30" t="s">
        <v>531</v>
      </c>
    </row>
    <row r="17" spans="1:9" ht="55.95" customHeight="1" x14ac:dyDescent="0.3">
      <c r="A17" s="42">
        <v>46263</v>
      </c>
      <c r="B17" s="26" t="s">
        <v>136</v>
      </c>
      <c r="C17" s="27" t="s">
        <v>137</v>
      </c>
      <c r="D17" s="27" t="s">
        <v>533</v>
      </c>
      <c r="E17" s="20">
        <v>5</v>
      </c>
      <c r="F17" s="29" t="s">
        <v>389</v>
      </c>
      <c r="G17" s="27" t="s">
        <v>390</v>
      </c>
      <c r="H17" s="29" t="s">
        <v>391</v>
      </c>
      <c r="I17" s="30" t="s">
        <v>531</v>
      </c>
    </row>
    <row r="18" spans="1:9" ht="55.95" customHeight="1" x14ac:dyDescent="0.3">
      <c r="A18" s="42">
        <v>46264</v>
      </c>
      <c r="B18" s="26" t="s">
        <v>141</v>
      </c>
      <c r="C18" s="27" t="s">
        <v>142</v>
      </c>
      <c r="D18" s="27" t="s">
        <v>533</v>
      </c>
      <c r="E18" s="20">
        <v>6</v>
      </c>
      <c r="F18" s="29" t="s">
        <v>392</v>
      </c>
      <c r="G18" s="27" t="s">
        <v>393</v>
      </c>
      <c r="H18" s="29" t="s">
        <v>394</v>
      </c>
      <c r="I18" s="30" t="s">
        <v>531</v>
      </c>
    </row>
    <row r="19" spans="1:9" ht="55.95" customHeight="1" x14ac:dyDescent="0.3">
      <c r="A19" s="42">
        <v>46265</v>
      </c>
      <c r="B19" s="26" t="s">
        <v>145</v>
      </c>
      <c r="C19" s="27" t="s">
        <v>146</v>
      </c>
      <c r="D19" s="27" t="s">
        <v>533</v>
      </c>
      <c r="E19" s="20">
        <v>6</v>
      </c>
      <c r="F19" s="29" t="s">
        <v>395</v>
      </c>
      <c r="G19" s="27" t="s">
        <v>396</v>
      </c>
      <c r="H19" s="29" t="s">
        <v>397</v>
      </c>
      <c r="I19" s="30" t="s">
        <v>531</v>
      </c>
    </row>
    <row r="20" spans="1:9" ht="55.95" customHeight="1" x14ac:dyDescent="0.3">
      <c r="A20" s="42">
        <v>46266</v>
      </c>
      <c r="B20" s="26" t="s">
        <v>149</v>
      </c>
      <c r="C20" s="27" t="s">
        <v>150</v>
      </c>
      <c r="D20" s="27" t="s">
        <v>533</v>
      </c>
      <c r="E20" s="20">
        <v>7</v>
      </c>
      <c r="F20" s="29" t="s">
        <v>398</v>
      </c>
      <c r="G20" s="27" t="s">
        <v>399</v>
      </c>
      <c r="H20" s="29" t="s">
        <v>400</v>
      </c>
      <c r="I20" s="30" t="s">
        <v>531</v>
      </c>
    </row>
    <row r="21" spans="1:9" ht="55.95" customHeight="1" x14ac:dyDescent="0.3">
      <c r="A21" s="42">
        <v>46267</v>
      </c>
      <c r="B21" s="26" t="s">
        <v>153</v>
      </c>
      <c r="C21" s="27" t="s">
        <v>154</v>
      </c>
      <c r="D21" s="27" t="s">
        <v>533</v>
      </c>
      <c r="E21" s="20">
        <v>5</v>
      </c>
      <c r="F21" s="29" t="s">
        <v>401</v>
      </c>
      <c r="G21" s="27" t="s">
        <v>402</v>
      </c>
      <c r="H21" s="29" t="s">
        <v>403</v>
      </c>
      <c r="I21" s="30" t="s">
        <v>531</v>
      </c>
    </row>
    <row r="22" spans="1:9" ht="55.95" customHeight="1" x14ac:dyDescent="0.3">
      <c r="A22" s="42">
        <v>46268</v>
      </c>
      <c r="B22" s="26" t="s">
        <v>157</v>
      </c>
      <c r="C22" s="27" t="s">
        <v>158</v>
      </c>
      <c r="D22" s="27" t="s">
        <v>533</v>
      </c>
      <c r="E22" s="20">
        <v>5</v>
      </c>
      <c r="F22" s="29" t="s">
        <v>404</v>
      </c>
      <c r="G22" s="27" t="s">
        <v>405</v>
      </c>
      <c r="H22" s="29" t="s">
        <v>406</v>
      </c>
      <c r="I22" s="30" t="s">
        <v>531</v>
      </c>
    </row>
    <row r="23" spans="1:9" ht="55.95" customHeight="1" x14ac:dyDescent="0.3">
      <c r="A23" s="42">
        <v>46269</v>
      </c>
      <c r="B23" s="26" t="s">
        <v>162</v>
      </c>
      <c r="C23" s="27" t="s">
        <v>163</v>
      </c>
      <c r="D23" s="27" t="s">
        <v>533</v>
      </c>
      <c r="E23" s="20">
        <v>8</v>
      </c>
      <c r="F23" s="29" t="s">
        <v>407</v>
      </c>
      <c r="G23" s="27" t="s">
        <v>408</v>
      </c>
      <c r="H23" s="29" t="s">
        <v>409</v>
      </c>
      <c r="I23" s="30" t="s">
        <v>531</v>
      </c>
    </row>
    <row r="24" spans="1:9" ht="55.95" customHeight="1" x14ac:dyDescent="0.3">
      <c r="A24" s="42">
        <v>46270</v>
      </c>
      <c r="B24" s="26" t="s">
        <v>166</v>
      </c>
      <c r="C24" s="27" t="s">
        <v>167</v>
      </c>
      <c r="D24" s="27" t="s">
        <v>533</v>
      </c>
      <c r="E24" s="20">
        <v>6</v>
      </c>
      <c r="F24" s="29" t="s">
        <v>410</v>
      </c>
      <c r="G24" s="27" t="s">
        <v>411</v>
      </c>
      <c r="H24" s="29" t="s">
        <v>412</v>
      </c>
      <c r="I24" s="30" t="s">
        <v>531</v>
      </c>
    </row>
    <row r="25" spans="1:9" ht="55.95" customHeight="1" x14ac:dyDescent="0.3">
      <c r="A25" s="42">
        <v>46271</v>
      </c>
      <c r="B25" s="26" t="s">
        <v>170</v>
      </c>
      <c r="C25" s="27" t="s">
        <v>171</v>
      </c>
      <c r="D25" s="27" t="s">
        <v>533</v>
      </c>
      <c r="E25" s="20">
        <v>6</v>
      </c>
      <c r="F25" s="29" t="s">
        <v>413</v>
      </c>
      <c r="G25" s="27" t="s">
        <v>411</v>
      </c>
      <c r="H25" s="29" t="s">
        <v>412</v>
      </c>
      <c r="I25" s="30" t="s">
        <v>531</v>
      </c>
    </row>
    <row r="26" spans="1:9" ht="55.95" customHeight="1" x14ac:dyDescent="0.3">
      <c r="A26" s="42">
        <v>46272</v>
      </c>
      <c r="B26" s="26" t="s">
        <v>172</v>
      </c>
      <c r="C26" s="27" t="s">
        <v>173</v>
      </c>
      <c r="D26" s="27" t="s">
        <v>533</v>
      </c>
      <c r="E26" s="20">
        <v>6</v>
      </c>
      <c r="F26" s="29" t="s">
        <v>414</v>
      </c>
      <c r="G26" s="27" t="s">
        <v>415</v>
      </c>
      <c r="H26" s="29" t="s">
        <v>416</v>
      </c>
      <c r="I26" s="30" t="s">
        <v>531</v>
      </c>
    </row>
    <row r="27" spans="1:9" ht="55.95" customHeight="1" x14ac:dyDescent="0.3">
      <c r="A27" s="42">
        <v>46273</v>
      </c>
      <c r="B27" s="26" t="s">
        <v>176</v>
      </c>
      <c r="C27" s="27" t="s">
        <v>177</v>
      </c>
      <c r="D27" s="27" t="s">
        <v>533</v>
      </c>
      <c r="E27" s="20">
        <v>8</v>
      </c>
      <c r="F27" s="29" t="s">
        <v>417</v>
      </c>
      <c r="G27" s="27" t="s">
        <v>418</v>
      </c>
      <c r="H27" s="29" t="s">
        <v>419</v>
      </c>
      <c r="I27" s="30" t="s">
        <v>531</v>
      </c>
    </row>
    <row r="28" spans="1:9" ht="55.95" customHeight="1" x14ac:dyDescent="0.3">
      <c r="A28" s="42">
        <v>46274</v>
      </c>
      <c r="B28" s="26" t="s">
        <v>179</v>
      </c>
      <c r="C28" s="27" t="s">
        <v>180</v>
      </c>
      <c r="D28" s="27" t="s">
        <v>533</v>
      </c>
      <c r="E28" s="20">
        <v>5</v>
      </c>
      <c r="F28" s="29" t="s">
        <v>374</v>
      </c>
      <c r="G28" s="27" t="s">
        <v>411</v>
      </c>
      <c r="H28" s="29" t="s">
        <v>412</v>
      </c>
      <c r="I28" s="30" t="s">
        <v>531</v>
      </c>
    </row>
    <row r="29" spans="1:9" ht="55.95" customHeight="1" x14ac:dyDescent="0.3">
      <c r="A29" s="42">
        <v>46275</v>
      </c>
      <c r="B29" s="26" t="s">
        <v>181</v>
      </c>
      <c r="C29" s="27" t="s">
        <v>182</v>
      </c>
      <c r="D29" s="27" t="s">
        <v>533</v>
      </c>
      <c r="E29" s="20">
        <v>5</v>
      </c>
      <c r="F29" s="29" t="s">
        <v>420</v>
      </c>
      <c r="G29" s="27" t="s">
        <v>421</v>
      </c>
      <c r="H29" s="29" t="s">
        <v>422</v>
      </c>
      <c r="I29" s="30" t="s">
        <v>531</v>
      </c>
    </row>
    <row r="30" spans="1:9" ht="55.95" customHeight="1" x14ac:dyDescent="0.3">
      <c r="A30" s="42">
        <v>46276</v>
      </c>
      <c r="B30" s="26" t="s">
        <v>184</v>
      </c>
      <c r="C30" s="27" t="s">
        <v>185</v>
      </c>
      <c r="D30" s="27" t="s">
        <v>533</v>
      </c>
      <c r="E30" s="20">
        <v>5</v>
      </c>
      <c r="F30" s="29" t="s">
        <v>423</v>
      </c>
      <c r="G30" s="27" t="s">
        <v>424</v>
      </c>
      <c r="H30" s="29" t="s">
        <v>425</v>
      </c>
      <c r="I30" s="30" t="s">
        <v>531</v>
      </c>
    </row>
    <row r="31" spans="1:9" ht="55.95" customHeight="1" x14ac:dyDescent="0.3">
      <c r="A31" s="42">
        <v>46277</v>
      </c>
      <c r="B31" s="26" t="s">
        <v>188</v>
      </c>
      <c r="C31" s="27" t="s">
        <v>189</v>
      </c>
      <c r="D31" s="27" t="s">
        <v>533</v>
      </c>
      <c r="E31" s="20">
        <v>4</v>
      </c>
      <c r="F31" s="29" t="s">
        <v>426</v>
      </c>
      <c r="G31" s="27" t="s">
        <v>427</v>
      </c>
      <c r="H31" s="29" t="s">
        <v>428</v>
      </c>
      <c r="I31" s="30" t="s">
        <v>531</v>
      </c>
    </row>
    <row r="32" spans="1:9" ht="55.95" customHeight="1" x14ac:dyDescent="0.3">
      <c r="A32" s="42">
        <v>46278</v>
      </c>
      <c r="B32" s="26" t="s">
        <v>191</v>
      </c>
      <c r="C32" s="27" t="s">
        <v>192</v>
      </c>
      <c r="D32" s="27" t="s">
        <v>533</v>
      </c>
      <c r="E32" s="20">
        <v>6</v>
      </c>
      <c r="F32" s="29" t="s">
        <v>429</v>
      </c>
      <c r="G32" s="27" t="s">
        <v>430</v>
      </c>
      <c r="H32" s="29" t="s">
        <v>431</v>
      </c>
      <c r="I32" s="30" t="s">
        <v>531</v>
      </c>
    </row>
    <row r="33" spans="1:9" ht="55.95" customHeight="1" x14ac:dyDescent="0.3">
      <c r="A33" s="42">
        <v>46279</v>
      </c>
      <c r="B33" s="26" t="s">
        <v>195</v>
      </c>
      <c r="C33" s="27" t="s">
        <v>196</v>
      </c>
      <c r="D33" s="27" t="s">
        <v>533</v>
      </c>
      <c r="E33" s="20">
        <v>6</v>
      </c>
      <c r="F33" s="29" t="s">
        <v>432</v>
      </c>
      <c r="G33" s="27" t="s">
        <v>433</v>
      </c>
      <c r="H33" s="29" t="s">
        <v>434</v>
      </c>
      <c r="I33" s="30" t="s">
        <v>531</v>
      </c>
    </row>
    <row r="34" spans="1:9" ht="55.95" customHeight="1" x14ac:dyDescent="0.3">
      <c r="A34" s="42">
        <v>46280</v>
      </c>
      <c r="B34" s="26" t="s">
        <v>200</v>
      </c>
      <c r="C34" s="27" t="s">
        <v>201</v>
      </c>
      <c r="D34" s="27" t="s">
        <v>533</v>
      </c>
      <c r="E34" s="20">
        <v>6</v>
      </c>
      <c r="F34" s="29" t="s">
        <v>435</v>
      </c>
      <c r="G34" s="27" t="s">
        <v>436</v>
      </c>
      <c r="H34" s="29" t="s">
        <v>437</v>
      </c>
      <c r="I34" s="30" t="s">
        <v>531</v>
      </c>
    </row>
    <row r="35" spans="1:9" ht="55.95" customHeight="1" x14ac:dyDescent="0.3">
      <c r="A35" s="42">
        <v>46281</v>
      </c>
      <c r="B35" s="26" t="s">
        <v>203</v>
      </c>
      <c r="C35" s="27" t="s">
        <v>204</v>
      </c>
      <c r="D35" s="27" t="s">
        <v>533</v>
      </c>
      <c r="E35" s="20">
        <v>5</v>
      </c>
      <c r="F35" s="29" t="s">
        <v>438</v>
      </c>
      <c r="G35" s="27" t="s">
        <v>439</v>
      </c>
      <c r="H35" s="29" t="s">
        <v>440</v>
      </c>
      <c r="I35" s="30" t="s">
        <v>531</v>
      </c>
    </row>
    <row r="36" spans="1:9" ht="55.95" customHeight="1" x14ac:dyDescent="0.3">
      <c r="A36" s="42">
        <v>46282</v>
      </c>
      <c r="B36" s="26" t="s">
        <v>207</v>
      </c>
      <c r="C36" s="27" t="s">
        <v>208</v>
      </c>
      <c r="D36" s="27" t="s">
        <v>533</v>
      </c>
      <c r="E36" s="20">
        <v>5</v>
      </c>
      <c r="F36" s="29" t="s">
        <v>441</v>
      </c>
      <c r="G36" s="27" t="s">
        <v>442</v>
      </c>
      <c r="H36" s="29" t="s">
        <v>443</v>
      </c>
      <c r="I36" s="30" t="s">
        <v>531</v>
      </c>
    </row>
    <row r="37" spans="1:9" ht="55.95" customHeight="1" x14ac:dyDescent="0.3">
      <c r="A37" s="42">
        <v>46283</v>
      </c>
      <c r="B37" s="26" t="s">
        <v>211</v>
      </c>
      <c r="C37" s="27" t="s">
        <v>212</v>
      </c>
      <c r="D37" s="27" t="s">
        <v>533</v>
      </c>
      <c r="E37" s="20">
        <v>4</v>
      </c>
      <c r="F37" s="29" t="s">
        <v>444</v>
      </c>
      <c r="G37" s="27" t="s">
        <v>365</v>
      </c>
      <c r="H37" s="29" t="s">
        <v>445</v>
      </c>
      <c r="I37" s="30" t="s">
        <v>531</v>
      </c>
    </row>
    <row r="38" spans="1:9" ht="55.95" customHeight="1" x14ac:dyDescent="0.3">
      <c r="A38" s="42">
        <v>46284</v>
      </c>
      <c r="B38" s="26" t="s">
        <v>215</v>
      </c>
      <c r="C38" s="27" t="s">
        <v>216</v>
      </c>
      <c r="D38" s="27" t="s">
        <v>533</v>
      </c>
      <c r="E38" s="20">
        <v>4</v>
      </c>
      <c r="F38" s="29" t="s">
        <v>446</v>
      </c>
      <c r="G38" s="27" t="s">
        <v>365</v>
      </c>
      <c r="H38" s="29" t="s">
        <v>447</v>
      </c>
      <c r="I38" s="30" t="s">
        <v>531</v>
      </c>
    </row>
    <row r="39" spans="1:9" ht="55.95" customHeight="1" x14ac:dyDescent="0.3">
      <c r="A39" s="42">
        <v>46285</v>
      </c>
      <c r="B39" s="26" t="s">
        <v>219</v>
      </c>
      <c r="C39" s="27" t="s">
        <v>220</v>
      </c>
      <c r="D39" s="27" t="s">
        <v>533</v>
      </c>
      <c r="E39" s="20">
        <v>5</v>
      </c>
      <c r="F39" s="29" t="s">
        <v>448</v>
      </c>
      <c r="G39" s="27" t="s">
        <v>449</v>
      </c>
      <c r="H39" s="29" t="s">
        <v>450</v>
      </c>
      <c r="I39" s="30" t="s">
        <v>531</v>
      </c>
    </row>
    <row r="40" spans="1:9" ht="55.95" customHeight="1" x14ac:dyDescent="0.3">
      <c r="A40" s="42">
        <v>46286</v>
      </c>
      <c r="B40" s="26" t="s">
        <v>223</v>
      </c>
      <c r="C40" s="27" t="s">
        <v>224</v>
      </c>
      <c r="D40" s="27" t="s">
        <v>533</v>
      </c>
      <c r="E40" s="20">
        <v>6</v>
      </c>
      <c r="F40" s="29" t="s">
        <v>451</v>
      </c>
      <c r="G40" s="27" t="s">
        <v>365</v>
      </c>
      <c r="H40" s="29" t="s">
        <v>452</v>
      </c>
      <c r="I40" s="30" t="s">
        <v>531</v>
      </c>
    </row>
    <row r="41" spans="1:9" ht="55.95" customHeight="1" x14ac:dyDescent="0.3">
      <c r="A41" s="42">
        <v>46287</v>
      </c>
      <c r="B41" s="26" t="s">
        <v>229</v>
      </c>
      <c r="C41" s="27" t="s">
        <v>230</v>
      </c>
      <c r="D41" s="27" t="s">
        <v>533</v>
      </c>
      <c r="E41" s="20">
        <v>3</v>
      </c>
      <c r="F41" s="29" t="s">
        <v>453</v>
      </c>
      <c r="G41" s="27" t="s">
        <v>454</v>
      </c>
      <c r="H41" s="29" t="s">
        <v>455</v>
      </c>
      <c r="I41" s="30" t="s">
        <v>531</v>
      </c>
    </row>
    <row r="42" spans="1:9" ht="55.95" customHeight="1" x14ac:dyDescent="0.3">
      <c r="A42" s="42">
        <v>46288</v>
      </c>
      <c r="B42" s="26" t="s">
        <v>302</v>
      </c>
      <c r="C42" s="27" t="s">
        <v>303</v>
      </c>
      <c r="D42" s="27" t="s">
        <v>532</v>
      </c>
      <c r="E42" s="20">
        <v>6</v>
      </c>
      <c r="F42" s="29" t="s">
        <v>456</v>
      </c>
      <c r="G42" s="27" t="s">
        <v>457</v>
      </c>
      <c r="H42" s="29" t="s">
        <v>458</v>
      </c>
      <c r="I42" s="30" t="s">
        <v>531</v>
      </c>
    </row>
    <row r="43" spans="1:9" ht="55.95" customHeight="1" x14ac:dyDescent="0.3">
      <c r="A43" s="42">
        <v>46289</v>
      </c>
      <c r="B43" s="26" t="s">
        <v>307</v>
      </c>
      <c r="C43" s="27" t="s">
        <v>308</v>
      </c>
      <c r="D43" s="27" t="s">
        <v>532</v>
      </c>
      <c r="E43" s="20">
        <v>5</v>
      </c>
      <c r="F43" s="29" t="s">
        <v>459</v>
      </c>
      <c r="G43" s="27" t="s">
        <v>365</v>
      </c>
      <c r="H43" s="29" t="s">
        <v>460</v>
      </c>
      <c r="I43" s="30" t="s">
        <v>531</v>
      </c>
    </row>
    <row r="44" spans="1:9" ht="55.95" customHeight="1" x14ac:dyDescent="0.3">
      <c r="A44" s="42">
        <v>46290</v>
      </c>
      <c r="B44" s="26" t="s">
        <v>312</v>
      </c>
      <c r="C44" s="27" t="s">
        <v>313</v>
      </c>
      <c r="D44" s="27" t="s">
        <v>532</v>
      </c>
      <c r="E44" s="20">
        <v>4</v>
      </c>
      <c r="F44" s="29" t="s">
        <v>461</v>
      </c>
      <c r="G44" s="27" t="s">
        <v>365</v>
      </c>
      <c r="H44" s="29" t="s">
        <v>462</v>
      </c>
      <c r="I44" s="30" t="s">
        <v>531</v>
      </c>
    </row>
    <row r="45" spans="1:9" ht="55.95" customHeight="1" x14ac:dyDescent="0.3">
      <c r="A45" s="42">
        <v>46291</v>
      </c>
      <c r="B45" s="26" t="s">
        <v>318</v>
      </c>
      <c r="C45" s="27" t="s">
        <v>319</v>
      </c>
      <c r="D45" s="27" t="s">
        <v>532</v>
      </c>
      <c r="E45" s="20">
        <v>5</v>
      </c>
      <c r="F45" s="29" t="s">
        <v>463</v>
      </c>
      <c r="G45" s="27" t="s">
        <v>365</v>
      </c>
      <c r="H45" s="29" t="s">
        <v>464</v>
      </c>
      <c r="I45" s="30" t="s">
        <v>531</v>
      </c>
    </row>
    <row r="46" spans="1:9" ht="55.95" customHeight="1" x14ac:dyDescent="0.3">
      <c r="A46" s="42">
        <v>46292</v>
      </c>
      <c r="B46" s="26" t="s">
        <v>323</v>
      </c>
      <c r="C46" s="27" t="s">
        <v>324</v>
      </c>
      <c r="D46" s="27" t="s">
        <v>532</v>
      </c>
      <c r="E46" s="20">
        <v>4</v>
      </c>
      <c r="F46" s="29" t="s">
        <v>465</v>
      </c>
      <c r="G46" s="27" t="s">
        <v>365</v>
      </c>
      <c r="H46" s="29" t="s">
        <v>466</v>
      </c>
      <c r="I46" s="30" t="s">
        <v>531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7324D"/>
    <pageSetUpPr fitToPage="1"/>
  </sheetPr>
  <dimension ref="A1:I17"/>
  <sheetViews>
    <sheetView showGridLines="0" topLeftCell="F1" zoomScale="85" workbookViewId="0">
      <pane ySplit="1" topLeftCell="A8" activePane="bottomLeft" state="frozen"/>
      <selection pane="bottomLeft" activeCell="F4" sqref="F4"/>
    </sheetView>
  </sheetViews>
  <sheetFormatPr defaultRowHeight="14.4" x14ac:dyDescent="0.3"/>
  <cols>
    <col min="1" max="1" width="13" customWidth="1"/>
    <col min="2" max="2" width="18" customWidth="1"/>
    <col min="3" max="3" width="58" customWidth="1"/>
    <col min="4" max="4" width="20" customWidth="1"/>
    <col min="5" max="5" width="34" customWidth="1"/>
    <col min="6" max="6" width="82" customWidth="1"/>
    <col min="7" max="7" width="27" customWidth="1"/>
    <col min="8" max="8" width="28" customWidth="1"/>
    <col min="9" max="9" width="76" customWidth="1"/>
  </cols>
  <sheetData>
    <row r="1" spans="1:9" ht="34.049999999999997" customHeight="1" x14ac:dyDescent="0.3">
      <c r="A1" s="12" t="s">
        <v>534</v>
      </c>
      <c r="B1" s="12" t="s">
        <v>347</v>
      </c>
      <c r="C1" s="12" t="s">
        <v>535</v>
      </c>
      <c r="D1" s="12" t="s">
        <v>536</v>
      </c>
      <c r="E1" s="12" t="s">
        <v>537</v>
      </c>
      <c r="F1" s="12" t="s">
        <v>538</v>
      </c>
      <c r="G1" s="12" t="s">
        <v>539</v>
      </c>
      <c r="H1" s="12" t="s">
        <v>540</v>
      </c>
      <c r="I1" s="12" t="s">
        <v>541</v>
      </c>
    </row>
    <row r="2" spans="1:9" ht="49.95" customHeight="1" x14ac:dyDescent="0.3">
      <c r="A2" s="8" t="s">
        <v>542</v>
      </c>
      <c r="B2" s="13">
        <v>46297</v>
      </c>
      <c r="C2" s="8" t="s">
        <v>97</v>
      </c>
      <c r="D2" s="8" t="s">
        <v>543</v>
      </c>
      <c r="E2" s="8" t="s">
        <v>544</v>
      </c>
      <c r="F2" s="8" t="s">
        <v>545</v>
      </c>
      <c r="G2" s="8" t="s">
        <v>546</v>
      </c>
      <c r="H2" s="8" t="s">
        <v>547</v>
      </c>
      <c r="I2" s="8" t="s">
        <v>548</v>
      </c>
    </row>
    <row r="3" spans="1:9" ht="49.95" customHeight="1" x14ac:dyDescent="0.3">
      <c r="A3" s="8" t="s">
        <v>549</v>
      </c>
      <c r="B3" s="13">
        <v>46297</v>
      </c>
      <c r="C3" s="8" t="s">
        <v>550</v>
      </c>
      <c r="D3" s="8" t="s">
        <v>543</v>
      </c>
      <c r="E3" s="8" t="s">
        <v>551</v>
      </c>
      <c r="F3" s="8" t="s">
        <v>552</v>
      </c>
      <c r="G3" s="8" t="s">
        <v>546</v>
      </c>
      <c r="H3" s="8" t="s">
        <v>547</v>
      </c>
      <c r="I3" s="8" t="s">
        <v>553</v>
      </c>
    </row>
    <row r="4" spans="1:9" ht="49.95" customHeight="1" x14ac:dyDescent="0.3">
      <c r="A4" s="8" t="s">
        <v>554</v>
      </c>
      <c r="B4" s="13">
        <v>46297</v>
      </c>
      <c r="C4" s="8" t="s">
        <v>555</v>
      </c>
      <c r="D4" s="8" t="s">
        <v>543</v>
      </c>
      <c r="E4" s="8" t="s">
        <v>556</v>
      </c>
      <c r="F4" s="8" t="s">
        <v>557</v>
      </c>
      <c r="G4" s="8" t="s">
        <v>558</v>
      </c>
      <c r="H4" s="8" t="s">
        <v>547</v>
      </c>
      <c r="I4" s="8" t="s">
        <v>559</v>
      </c>
    </row>
    <row r="5" spans="1:9" ht="49.95" customHeight="1" x14ac:dyDescent="0.3">
      <c r="A5" s="8" t="s">
        <v>560</v>
      </c>
      <c r="B5" s="13">
        <v>46297</v>
      </c>
      <c r="C5" s="8" t="s">
        <v>561</v>
      </c>
      <c r="D5" s="8" t="s">
        <v>543</v>
      </c>
      <c r="E5" s="8" t="s">
        <v>562</v>
      </c>
      <c r="F5" s="8" t="s">
        <v>563</v>
      </c>
      <c r="G5" s="8" t="s">
        <v>564</v>
      </c>
      <c r="H5" s="8" t="s">
        <v>547</v>
      </c>
      <c r="I5" s="8" t="s">
        <v>565</v>
      </c>
    </row>
    <row r="6" spans="1:9" ht="49.95" customHeight="1" x14ac:dyDescent="0.3">
      <c r="A6" s="8" t="s">
        <v>566</v>
      </c>
      <c r="B6" s="13">
        <v>46297</v>
      </c>
      <c r="C6" s="8" t="s">
        <v>567</v>
      </c>
      <c r="D6" s="8" t="s">
        <v>543</v>
      </c>
      <c r="E6" s="8" t="s">
        <v>568</v>
      </c>
      <c r="F6" s="8" t="s">
        <v>569</v>
      </c>
      <c r="G6" s="8" t="s">
        <v>546</v>
      </c>
      <c r="H6" s="8" t="s">
        <v>547</v>
      </c>
      <c r="I6" s="8" t="s">
        <v>570</v>
      </c>
    </row>
    <row r="7" spans="1:9" ht="49.95" customHeight="1" x14ac:dyDescent="0.3">
      <c r="A7" s="8" t="s">
        <v>571</v>
      </c>
      <c r="B7" s="13">
        <v>46297</v>
      </c>
      <c r="C7" s="8" t="s">
        <v>572</v>
      </c>
      <c r="D7" s="8" t="s">
        <v>543</v>
      </c>
      <c r="E7" s="8" t="s">
        <v>573</v>
      </c>
      <c r="F7" s="8" t="s">
        <v>574</v>
      </c>
      <c r="G7" s="8" t="s">
        <v>546</v>
      </c>
      <c r="H7" s="8" t="s">
        <v>547</v>
      </c>
      <c r="I7" s="8" t="s">
        <v>575</v>
      </c>
    </row>
    <row r="8" spans="1:9" ht="49.95" customHeight="1" x14ac:dyDescent="0.3">
      <c r="A8" s="8" t="s">
        <v>576</v>
      </c>
      <c r="B8" s="13">
        <v>46297</v>
      </c>
      <c r="C8" s="8" t="s">
        <v>577</v>
      </c>
      <c r="D8" s="8" t="s">
        <v>543</v>
      </c>
      <c r="E8" s="8" t="s">
        <v>578</v>
      </c>
      <c r="F8" s="8" t="s">
        <v>579</v>
      </c>
      <c r="G8" s="8" t="s">
        <v>546</v>
      </c>
      <c r="H8" s="8" t="s">
        <v>547</v>
      </c>
      <c r="I8" s="8" t="s">
        <v>580</v>
      </c>
    </row>
    <row r="9" spans="1:9" ht="49.95" customHeight="1" x14ac:dyDescent="0.3">
      <c r="A9" s="8" t="s">
        <v>581</v>
      </c>
      <c r="B9" s="13">
        <v>46297</v>
      </c>
      <c r="C9" s="8" t="s">
        <v>582</v>
      </c>
      <c r="D9" s="8" t="s">
        <v>583</v>
      </c>
      <c r="E9" s="8" t="s">
        <v>584</v>
      </c>
      <c r="F9" s="8" t="s">
        <v>585</v>
      </c>
      <c r="G9" s="8" t="s">
        <v>586</v>
      </c>
      <c r="H9" s="8" t="s">
        <v>547</v>
      </c>
      <c r="I9" s="8" t="s">
        <v>587</v>
      </c>
    </row>
    <row r="10" spans="1:9" ht="49.95" customHeight="1" x14ac:dyDescent="0.3">
      <c r="A10" s="8" t="s">
        <v>588</v>
      </c>
      <c r="B10" s="13">
        <v>46297</v>
      </c>
      <c r="C10" s="8" t="s">
        <v>589</v>
      </c>
      <c r="D10" s="8" t="s">
        <v>583</v>
      </c>
      <c r="E10" s="8" t="s">
        <v>590</v>
      </c>
      <c r="F10" s="8" t="s">
        <v>591</v>
      </c>
      <c r="G10" s="8" t="s">
        <v>586</v>
      </c>
      <c r="H10" s="8" t="s">
        <v>547</v>
      </c>
      <c r="I10" s="8" t="s">
        <v>592</v>
      </c>
    </row>
    <row r="11" spans="1:9" ht="49.95" customHeight="1" x14ac:dyDescent="0.3">
      <c r="A11" s="8" t="s">
        <v>593</v>
      </c>
      <c r="B11" s="13">
        <v>46297</v>
      </c>
      <c r="C11" s="8" t="s">
        <v>594</v>
      </c>
      <c r="D11" s="8" t="s">
        <v>595</v>
      </c>
      <c r="E11" s="8" t="s">
        <v>596</v>
      </c>
      <c r="F11" s="8" t="s">
        <v>597</v>
      </c>
      <c r="G11" s="8" t="s">
        <v>546</v>
      </c>
      <c r="H11" s="8" t="s">
        <v>547</v>
      </c>
      <c r="I11" s="8" t="s">
        <v>598</v>
      </c>
    </row>
    <row r="12" spans="1:9" ht="49.95" customHeight="1" x14ac:dyDescent="0.3">
      <c r="A12" s="8" t="s">
        <v>599</v>
      </c>
      <c r="B12" s="13">
        <v>46297</v>
      </c>
      <c r="C12" s="8" t="s">
        <v>600</v>
      </c>
      <c r="D12" s="8" t="s">
        <v>595</v>
      </c>
      <c r="E12" s="8" t="s">
        <v>601</v>
      </c>
      <c r="F12" s="8" t="s">
        <v>602</v>
      </c>
      <c r="G12" s="8" t="s">
        <v>546</v>
      </c>
      <c r="H12" s="8" t="s">
        <v>547</v>
      </c>
      <c r="I12" s="8" t="s">
        <v>603</v>
      </c>
    </row>
    <row r="13" spans="1:9" ht="49.95" customHeight="1" x14ac:dyDescent="0.3">
      <c r="A13" s="8" t="s">
        <v>604</v>
      </c>
      <c r="B13" s="13">
        <v>46297</v>
      </c>
      <c r="C13" s="8" t="s">
        <v>605</v>
      </c>
      <c r="D13" s="8" t="s">
        <v>595</v>
      </c>
      <c r="E13" s="8" t="s">
        <v>606</v>
      </c>
      <c r="F13" s="8" t="s">
        <v>607</v>
      </c>
      <c r="G13" s="8" t="s">
        <v>546</v>
      </c>
      <c r="H13" s="8" t="s">
        <v>547</v>
      </c>
      <c r="I13" s="8" t="s">
        <v>608</v>
      </c>
    </row>
    <row r="14" spans="1:9" ht="49.95" customHeight="1" x14ac:dyDescent="0.3">
      <c r="A14" s="8" t="s">
        <v>609</v>
      </c>
      <c r="B14" s="13">
        <v>46297</v>
      </c>
      <c r="C14" s="8" t="s">
        <v>229</v>
      </c>
      <c r="D14" s="8" t="s">
        <v>610</v>
      </c>
      <c r="E14" s="8" t="s">
        <v>611</v>
      </c>
      <c r="F14" s="8" t="s">
        <v>612</v>
      </c>
      <c r="G14" s="8" t="s">
        <v>613</v>
      </c>
      <c r="H14" s="8" t="s">
        <v>547</v>
      </c>
      <c r="I14" s="8" t="s">
        <v>614</v>
      </c>
    </row>
    <row r="15" spans="1:9" ht="49.95" customHeight="1" x14ac:dyDescent="0.3">
      <c r="A15" s="8" t="s">
        <v>615</v>
      </c>
      <c r="B15" s="13">
        <v>46297</v>
      </c>
      <c r="C15" s="8" t="s">
        <v>616</v>
      </c>
      <c r="D15" s="8" t="s">
        <v>617</v>
      </c>
      <c r="E15" s="8" t="s">
        <v>618</v>
      </c>
      <c r="F15" s="8" t="s">
        <v>619</v>
      </c>
      <c r="G15" s="8" t="s">
        <v>546</v>
      </c>
      <c r="H15" s="8" t="s">
        <v>618</v>
      </c>
      <c r="I15" s="8" t="s">
        <v>620</v>
      </c>
    </row>
    <row r="16" spans="1:9" ht="49.95" customHeight="1" x14ac:dyDescent="0.3">
      <c r="A16" s="8" t="s">
        <v>621</v>
      </c>
      <c r="B16" s="13">
        <v>46297</v>
      </c>
      <c r="C16" s="8" t="s">
        <v>176</v>
      </c>
      <c r="D16" s="8" t="s">
        <v>583</v>
      </c>
      <c r="E16" s="8" t="s">
        <v>622</v>
      </c>
      <c r="F16" s="8" t="s">
        <v>623</v>
      </c>
      <c r="G16" s="8" t="s">
        <v>586</v>
      </c>
      <c r="H16" s="8" t="s">
        <v>547</v>
      </c>
      <c r="I16" s="8" t="s">
        <v>624</v>
      </c>
    </row>
    <row r="17" spans="1:9" ht="49.95" customHeight="1" x14ac:dyDescent="0.3">
      <c r="A17" s="8" t="s">
        <v>625</v>
      </c>
      <c r="B17" s="8" t="s">
        <v>55</v>
      </c>
      <c r="C17" s="8" t="s">
        <v>626</v>
      </c>
      <c r="D17" s="8" t="s">
        <v>627</v>
      </c>
      <c r="E17" s="8" t="s">
        <v>628</v>
      </c>
      <c r="F17" s="8" t="s">
        <v>629</v>
      </c>
      <c r="G17" s="8" t="s">
        <v>586</v>
      </c>
      <c r="H17" s="8" t="s">
        <v>630</v>
      </c>
      <c r="I17" s="8" t="s">
        <v>631</v>
      </c>
    </row>
  </sheetData>
  <autoFilter ref="A1:I17" xr:uid="{00000000-0009-0000-0000-000006000000}"/>
  <pageMargins left="0.25" right="0.25" top="0.5" bottom="0.5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7324D"/>
    <pageSetUpPr fitToPage="1"/>
  </sheetPr>
  <dimension ref="A1:H6"/>
  <sheetViews>
    <sheetView showGridLines="0" zoomScale="85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58" customWidth="1"/>
    <col min="3" max="3" width="34" customWidth="1"/>
    <col min="4" max="5" width="36" customWidth="1"/>
    <col min="6" max="6" width="44" customWidth="1"/>
    <col min="7" max="7" width="22" customWidth="1"/>
    <col min="8" max="8" width="42" customWidth="1"/>
  </cols>
  <sheetData>
    <row r="1" spans="1:8" ht="34.049999999999997" customHeight="1" x14ac:dyDescent="0.3">
      <c r="A1" s="12" t="s">
        <v>632</v>
      </c>
      <c r="B1" s="12" t="s">
        <v>535</v>
      </c>
      <c r="C1" s="12" t="s">
        <v>633</v>
      </c>
      <c r="D1" s="12" t="s">
        <v>634</v>
      </c>
      <c r="E1" s="12" t="s">
        <v>635</v>
      </c>
      <c r="F1" s="12" t="s">
        <v>636</v>
      </c>
      <c r="G1" s="12" t="s">
        <v>43</v>
      </c>
      <c r="H1" s="12" t="s">
        <v>350</v>
      </c>
    </row>
    <row r="2" spans="1:8" ht="42" customHeight="1" x14ac:dyDescent="0.3">
      <c r="A2" s="8" t="s">
        <v>637</v>
      </c>
      <c r="B2" s="8" t="s">
        <v>638</v>
      </c>
      <c r="C2" s="8" t="s">
        <v>639</v>
      </c>
      <c r="D2" s="8" t="s">
        <v>640</v>
      </c>
      <c r="E2" s="8" t="s">
        <v>641</v>
      </c>
      <c r="F2" s="8" t="s">
        <v>642</v>
      </c>
      <c r="G2" s="8" t="s">
        <v>546</v>
      </c>
      <c r="H2" s="8" t="s">
        <v>597</v>
      </c>
    </row>
    <row r="3" spans="1:8" ht="42" customHeight="1" x14ac:dyDescent="0.3">
      <c r="A3" s="8" t="s">
        <v>643</v>
      </c>
      <c r="B3" s="8" t="s">
        <v>600</v>
      </c>
      <c r="C3" s="8" t="s">
        <v>644</v>
      </c>
      <c r="D3" s="8" t="s">
        <v>645</v>
      </c>
      <c r="E3" s="8" t="s">
        <v>641</v>
      </c>
      <c r="F3" s="8" t="s">
        <v>646</v>
      </c>
      <c r="G3" s="8" t="s">
        <v>546</v>
      </c>
      <c r="H3" s="8" t="s">
        <v>602</v>
      </c>
    </row>
    <row r="4" spans="1:8" ht="42" customHeight="1" x14ac:dyDescent="0.3">
      <c r="A4" s="8" t="s">
        <v>647</v>
      </c>
      <c r="B4" s="8" t="s">
        <v>605</v>
      </c>
      <c r="C4" s="8" t="s">
        <v>606</v>
      </c>
      <c r="D4" s="8" t="s">
        <v>648</v>
      </c>
      <c r="E4" s="8" t="s">
        <v>649</v>
      </c>
      <c r="F4" s="8" t="s">
        <v>650</v>
      </c>
      <c r="G4" s="8" t="s">
        <v>546</v>
      </c>
      <c r="H4" s="8" t="s">
        <v>607</v>
      </c>
    </row>
    <row r="5" spans="1:8" ht="42" customHeight="1" x14ac:dyDescent="0.3">
      <c r="A5" s="8" t="s">
        <v>651</v>
      </c>
      <c r="B5" s="8" t="s">
        <v>229</v>
      </c>
      <c r="C5" s="8" t="s">
        <v>652</v>
      </c>
      <c r="D5" s="8" t="s">
        <v>653</v>
      </c>
      <c r="E5" s="8" t="s">
        <v>654</v>
      </c>
      <c r="F5" s="8" t="s">
        <v>655</v>
      </c>
      <c r="G5" s="8" t="s">
        <v>613</v>
      </c>
      <c r="H5" s="8" t="s">
        <v>612</v>
      </c>
    </row>
    <row r="6" spans="1:8" ht="42" customHeight="1" x14ac:dyDescent="0.3">
      <c r="A6" s="8" t="s">
        <v>656</v>
      </c>
      <c r="B6" s="8" t="s">
        <v>572</v>
      </c>
      <c r="C6" s="8" t="s">
        <v>657</v>
      </c>
      <c r="D6" s="8" t="s">
        <v>658</v>
      </c>
      <c r="E6" s="8" t="s">
        <v>659</v>
      </c>
      <c r="F6" s="8" t="s">
        <v>660</v>
      </c>
      <c r="G6" s="8" t="s">
        <v>546</v>
      </c>
      <c r="H6" s="8" t="s">
        <v>574</v>
      </c>
    </row>
  </sheetData>
  <autoFilter ref="A1:H6" xr:uid="{00000000-0009-0000-0000-000007000000}"/>
  <pageMargins left="0.25" right="0.25" top="0.5" bottom="0.5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7324D"/>
    <pageSetUpPr fitToPage="1"/>
  </sheetPr>
  <dimension ref="A1:C16"/>
  <sheetViews>
    <sheetView showGridLines="0" zoomScale="85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2" width="64" customWidth="1"/>
    <col min="3" max="3" width="86" customWidth="1"/>
  </cols>
  <sheetData>
    <row r="1" spans="1:3" ht="34.049999999999997" customHeight="1" x14ac:dyDescent="0.3">
      <c r="A1" s="1" t="s">
        <v>661</v>
      </c>
      <c r="B1" s="1" t="s">
        <v>662</v>
      </c>
      <c r="C1" s="1" t="s">
        <v>663</v>
      </c>
    </row>
    <row r="2" spans="1:3" ht="42" customHeight="1" x14ac:dyDescent="0.3">
      <c r="A2" s="2" t="s">
        <v>664</v>
      </c>
      <c r="B2" s="2" t="s">
        <v>665</v>
      </c>
      <c r="C2" s="2" t="s">
        <v>666</v>
      </c>
    </row>
    <row r="3" spans="1:3" ht="42" customHeight="1" x14ac:dyDescent="0.3">
      <c r="A3" s="2" t="s">
        <v>667</v>
      </c>
      <c r="B3" s="2" t="s">
        <v>668</v>
      </c>
      <c r="C3" s="2" t="s">
        <v>669</v>
      </c>
    </row>
    <row r="4" spans="1:3" ht="42" customHeight="1" x14ac:dyDescent="0.3">
      <c r="A4" s="2" t="s">
        <v>670</v>
      </c>
      <c r="B4" s="2" t="s">
        <v>671</v>
      </c>
      <c r="C4" s="2" t="s">
        <v>672</v>
      </c>
    </row>
    <row r="5" spans="1:3" ht="42" customHeight="1" x14ac:dyDescent="0.3">
      <c r="A5" s="2" t="s">
        <v>673</v>
      </c>
      <c r="B5" s="2" t="s">
        <v>674</v>
      </c>
      <c r="C5" s="2" t="s">
        <v>675</v>
      </c>
    </row>
    <row r="6" spans="1:3" ht="42" customHeight="1" x14ac:dyDescent="0.3">
      <c r="A6" s="2" t="s">
        <v>676</v>
      </c>
      <c r="B6" s="2" t="s">
        <v>677</v>
      </c>
      <c r="C6" s="2" t="s">
        <v>666</v>
      </c>
    </row>
    <row r="7" spans="1:3" ht="42" customHeight="1" x14ac:dyDescent="0.3">
      <c r="A7" s="2" t="s">
        <v>678</v>
      </c>
      <c r="B7" s="2" t="s">
        <v>679</v>
      </c>
      <c r="C7" s="2" t="s">
        <v>680</v>
      </c>
    </row>
    <row r="8" spans="1:3" ht="42" customHeight="1" x14ac:dyDescent="0.3">
      <c r="A8" s="2" t="s">
        <v>681</v>
      </c>
      <c r="B8" s="3" t="s">
        <v>682</v>
      </c>
      <c r="C8" s="2" t="s">
        <v>683</v>
      </c>
    </row>
    <row r="9" spans="1:3" ht="42" customHeight="1" x14ac:dyDescent="0.3">
      <c r="A9" s="2" t="s">
        <v>684</v>
      </c>
      <c r="B9" s="3" t="s">
        <v>685</v>
      </c>
      <c r="C9" s="2" t="s">
        <v>686</v>
      </c>
    </row>
    <row r="10" spans="1:3" ht="42" customHeight="1" x14ac:dyDescent="0.3">
      <c r="A10" s="2" t="s">
        <v>687</v>
      </c>
      <c r="B10" s="3" t="s">
        <v>688</v>
      </c>
      <c r="C10" s="2" t="s">
        <v>689</v>
      </c>
    </row>
    <row r="11" spans="1:3" ht="42" customHeight="1" x14ac:dyDescent="0.3">
      <c r="A11" s="2" t="s">
        <v>690</v>
      </c>
      <c r="B11" s="3" t="s">
        <v>55</v>
      </c>
      <c r="C11" s="2" t="s">
        <v>691</v>
      </c>
    </row>
    <row r="12" spans="1:3" ht="42" customHeight="1" x14ac:dyDescent="0.3">
      <c r="A12" s="2" t="s">
        <v>692</v>
      </c>
      <c r="B12" s="3" t="s">
        <v>693</v>
      </c>
      <c r="C12" s="2" t="s">
        <v>694</v>
      </c>
    </row>
    <row r="13" spans="1:3" ht="42" customHeight="1" x14ac:dyDescent="0.3">
      <c r="A13" s="2" t="s">
        <v>695</v>
      </c>
      <c r="B13" s="3" t="s">
        <v>696</v>
      </c>
      <c r="C13" s="2" t="s">
        <v>697</v>
      </c>
    </row>
    <row r="14" spans="1:3" ht="42" customHeight="1" x14ac:dyDescent="0.3">
      <c r="A14" s="2" t="s">
        <v>698</v>
      </c>
      <c r="B14" s="3" t="s">
        <v>682</v>
      </c>
      <c r="C14" s="2" t="s">
        <v>699</v>
      </c>
    </row>
    <row r="15" spans="1:3" ht="42" customHeight="1" x14ac:dyDescent="0.3">
      <c r="A15" s="2" t="s">
        <v>700</v>
      </c>
      <c r="B15" s="2" t="s">
        <v>701</v>
      </c>
      <c r="C15" s="2" t="s">
        <v>702</v>
      </c>
    </row>
    <row r="16" spans="1:3" ht="42" customHeight="1" x14ac:dyDescent="0.3">
      <c r="A16" s="2" t="s">
        <v>703</v>
      </c>
      <c r="B16" s="2" t="s">
        <v>704</v>
      </c>
      <c r="C16" s="2" t="s">
        <v>705</v>
      </c>
    </row>
  </sheetData>
  <autoFilter ref="A1:C16" xr:uid="{00000000-0009-0000-0000-000008000000}"/>
  <pageMargins left="0.25" right="0.25" top="0.5" bottom="0.5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7324D"/>
    <pageSetUpPr fitToPage="1"/>
  </sheetPr>
  <dimension ref="A1:D18"/>
  <sheetViews>
    <sheetView showGridLines="0" workbookViewId="0">
      <pane ySplit="1" topLeftCell="A2" activePane="bottomLeft" state="frozen"/>
      <selection pane="bottomLeft" activeCell="C10" sqref="C10"/>
    </sheetView>
  </sheetViews>
  <sheetFormatPr defaultRowHeight="14.4" x14ac:dyDescent="0.3"/>
  <cols>
    <col min="1" max="1" width="16" customWidth="1"/>
    <col min="2" max="2" width="40" customWidth="1"/>
    <col min="3" max="3" width="100" customWidth="1"/>
    <col min="4" max="4" width="78" customWidth="1"/>
  </cols>
  <sheetData>
    <row r="1" spans="1:4" x14ac:dyDescent="0.3">
      <c r="A1" s="12" t="s">
        <v>706</v>
      </c>
      <c r="B1" s="12" t="s">
        <v>707</v>
      </c>
      <c r="C1" s="12" t="s">
        <v>708</v>
      </c>
      <c r="D1" s="12" t="s">
        <v>709</v>
      </c>
    </row>
    <row r="2" spans="1:4" ht="42" customHeight="1" x14ac:dyDescent="0.3">
      <c r="A2" s="8" t="s">
        <v>710</v>
      </c>
      <c r="B2" s="8" t="s">
        <v>711</v>
      </c>
      <c r="C2" s="8" t="s">
        <v>712</v>
      </c>
      <c r="D2" s="8" t="s">
        <v>713</v>
      </c>
    </row>
    <row r="3" spans="1:4" ht="42" customHeight="1" x14ac:dyDescent="0.3">
      <c r="A3" s="8" t="s">
        <v>714</v>
      </c>
      <c r="B3" s="8" t="s">
        <v>715</v>
      </c>
      <c r="C3" s="8" t="s">
        <v>716</v>
      </c>
      <c r="D3" s="8" t="s">
        <v>717</v>
      </c>
    </row>
    <row r="4" spans="1:4" ht="42" customHeight="1" x14ac:dyDescent="0.3">
      <c r="A4" s="8" t="s">
        <v>718</v>
      </c>
      <c r="B4" s="8" t="s">
        <v>719</v>
      </c>
      <c r="C4" s="8" t="s">
        <v>720</v>
      </c>
      <c r="D4" s="8" t="s">
        <v>721</v>
      </c>
    </row>
    <row r="5" spans="1:4" ht="42" customHeight="1" x14ac:dyDescent="0.3">
      <c r="A5" s="8" t="s">
        <v>722</v>
      </c>
      <c r="B5" s="8" t="s">
        <v>723</v>
      </c>
      <c r="C5" s="8" t="s">
        <v>724</v>
      </c>
      <c r="D5" s="8" t="s">
        <v>725</v>
      </c>
    </row>
    <row r="6" spans="1:4" ht="42" customHeight="1" x14ac:dyDescent="0.3">
      <c r="A6" s="8" t="s">
        <v>726</v>
      </c>
      <c r="B6" s="8" t="s">
        <v>727</v>
      </c>
      <c r="C6" s="8" t="s">
        <v>728</v>
      </c>
      <c r="D6" s="8" t="s">
        <v>729</v>
      </c>
    </row>
    <row r="7" spans="1:4" ht="42" customHeight="1" x14ac:dyDescent="0.3">
      <c r="A7" s="8" t="s">
        <v>730</v>
      </c>
      <c r="B7" s="8" t="s">
        <v>731</v>
      </c>
      <c r="C7" s="8" t="s">
        <v>64</v>
      </c>
      <c r="D7" s="8" t="s">
        <v>732</v>
      </c>
    </row>
    <row r="8" spans="1:4" ht="42" customHeight="1" x14ac:dyDescent="0.3">
      <c r="A8" s="8" t="s">
        <v>733</v>
      </c>
      <c r="B8" s="8" t="s">
        <v>734</v>
      </c>
      <c r="C8" s="8" t="s">
        <v>735</v>
      </c>
      <c r="D8" s="8" t="s">
        <v>736</v>
      </c>
    </row>
    <row r="9" spans="1:4" ht="42" customHeight="1" x14ac:dyDescent="0.3">
      <c r="A9" s="8" t="s">
        <v>737</v>
      </c>
      <c r="B9" s="8" t="s">
        <v>738</v>
      </c>
      <c r="C9" s="8" t="s">
        <v>101</v>
      </c>
      <c r="D9" s="8" t="s">
        <v>739</v>
      </c>
    </row>
    <row r="10" spans="1:4" ht="42" customHeight="1" x14ac:dyDescent="0.3">
      <c r="A10" s="8" t="s">
        <v>740</v>
      </c>
      <c r="B10" s="8" t="s">
        <v>741</v>
      </c>
      <c r="C10" s="8" t="s">
        <v>742</v>
      </c>
      <c r="D10" s="8" t="s">
        <v>743</v>
      </c>
    </row>
    <row r="11" spans="1:4" ht="42" customHeight="1" x14ac:dyDescent="0.3">
      <c r="A11" s="8" t="s">
        <v>744</v>
      </c>
      <c r="B11" s="8" t="s">
        <v>745</v>
      </c>
      <c r="C11" s="8" t="s">
        <v>746</v>
      </c>
      <c r="D11" s="8" t="s">
        <v>747</v>
      </c>
    </row>
    <row r="12" spans="1:4" ht="42" customHeight="1" x14ac:dyDescent="0.3">
      <c r="A12" s="8" t="s">
        <v>748</v>
      </c>
      <c r="B12" s="8" t="s">
        <v>749</v>
      </c>
      <c r="C12" s="8" t="s">
        <v>750</v>
      </c>
      <c r="D12" s="8" t="s">
        <v>751</v>
      </c>
    </row>
    <row r="13" spans="1:4" ht="42" customHeight="1" x14ac:dyDescent="0.3">
      <c r="A13" s="8" t="s">
        <v>752</v>
      </c>
      <c r="B13" s="8" t="s">
        <v>753</v>
      </c>
      <c r="C13" s="8" t="s">
        <v>754</v>
      </c>
      <c r="D13" s="8" t="s">
        <v>755</v>
      </c>
    </row>
    <row r="14" spans="1:4" ht="42" customHeight="1" x14ac:dyDescent="0.3">
      <c r="A14" s="8" t="s">
        <v>756</v>
      </c>
      <c r="B14" s="8" t="s">
        <v>757</v>
      </c>
      <c r="C14" s="8" t="s">
        <v>567</v>
      </c>
      <c r="D14" s="8" t="s">
        <v>758</v>
      </c>
    </row>
    <row r="15" spans="1:4" ht="42" customHeight="1" x14ac:dyDescent="0.3">
      <c r="A15" s="8" t="s">
        <v>759</v>
      </c>
      <c r="B15" s="8" t="s">
        <v>760</v>
      </c>
      <c r="C15" s="8" t="s">
        <v>761</v>
      </c>
      <c r="D15" s="8" t="s">
        <v>762</v>
      </c>
    </row>
    <row r="16" spans="1:4" ht="42" customHeight="1" x14ac:dyDescent="0.3">
      <c r="A16" s="8" t="s">
        <v>763</v>
      </c>
      <c r="B16" s="8" t="s">
        <v>764</v>
      </c>
      <c r="C16" s="8" t="s">
        <v>765</v>
      </c>
      <c r="D16" s="8" t="s">
        <v>766</v>
      </c>
    </row>
    <row r="17" spans="1:4" ht="42" customHeight="1" x14ac:dyDescent="0.3">
      <c r="A17" s="8" t="s">
        <v>767</v>
      </c>
      <c r="B17" s="8" t="s">
        <v>768</v>
      </c>
      <c r="C17" s="8" t="s">
        <v>594</v>
      </c>
      <c r="D17" s="8" t="s">
        <v>769</v>
      </c>
    </row>
    <row r="18" spans="1:4" ht="42" customHeight="1" x14ac:dyDescent="0.3">
      <c r="A18" s="8" t="s">
        <v>770</v>
      </c>
      <c r="B18" s="8" t="s">
        <v>771</v>
      </c>
      <c r="C18" s="8" t="s">
        <v>772</v>
      </c>
      <c r="D18" s="8" t="s">
        <v>773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Dashboard</vt:lpstr>
      <vt:lpstr>Master Tracker</vt:lpstr>
      <vt:lpstr>Timeline &amp; Dependencies</vt:lpstr>
      <vt:lpstr>Work Log</vt:lpstr>
      <vt:lpstr>Samiksha Work Log</vt:lpstr>
      <vt:lpstr>Zahir Work Log</vt:lpstr>
      <vt:lpstr>Evidence Register</vt:lpstr>
      <vt:lpstr>Test Register</vt:lpstr>
      <vt:lpstr>Submission Checklist</vt:lpstr>
      <vt:lpstr>Legacy Crosswalk</vt:lpstr>
      <vt:lpstr>'Master Tracker'!Print_Titles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Zahir Khan</cp:lastModifiedBy>
  <dcterms:created xsi:type="dcterms:W3CDTF">2026-10-03T04:52:03Z</dcterms:created>
  <dcterms:modified xsi:type="dcterms:W3CDTF">2026-10-08T03:26:50Z</dcterms:modified>
</cp:coreProperties>
</file>