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Master Tracker" sheetId="2" state="visible" r:id="rId2"/>
    <sheet xmlns:r="http://schemas.openxmlformats.org/officeDocument/2006/relationships" name="Timeline &amp; Dependencies" sheetId="3" state="visible" r:id="rId3"/>
    <sheet xmlns:r="http://schemas.openxmlformats.org/officeDocument/2006/relationships" name="Work Log" sheetId="4" state="visible" r:id="rId4"/>
    <sheet xmlns:r="http://schemas.openxmlformats.org/officeDocument/2006/relationships" name="Evidence Register" sheetId="5" state="visible" r:id="rId5"/>
    <sheet xmlns:r="http://schemas.openxmlformats.org/officeDocument/2006/relationships" name="Test Register" sheetId="6" state="visible" r:id="rId6"/>
    <sheet xmlns:r="http://schemas.openxmlformats.org/officeDocument/2006/relationships" name="Model Results" sheetId="7" state="visible" r:id="rId7"/>
    <sheet xmlns:r="http://schemas.openxmlformats.org/officeDocument/2006/relationships" name="Submission Checklist" sheetId="8" state="visible" r:id="rId8"/>
    <sheet xmlns:r="http://schemas.openxmlformats.org/officeDocument/2006/relationships" name="Legacy Crosswalk" sheetId="9" state="visible" r:id="rId9"/>
    <sheet xmlns:r="http://schemas.openxmlformats.org/officeDocument/2006/relationships" name="Samiksha Work Log" sheetId="10" state="visible" r:id="rId10"/>
    <sheet xmlns:r="http://schemas.openxmlformats.org/officeDocument/2006/relationships" name="Zahir Work Log" sheetId="11" state="visible" r:id="rId11"/>
  </sheets>
  <definedNames>
    <definedName name="_xlnm._FilterDatabase" localSheetId="1" hidden="1">'Master Tracker'!$A$1:$Q$69</definedName>
    <definedName name="_xlnm.Print_Titles" localSheetId="1">'Master Tracker'!$1:$1</definedName>
    <definedName name="_xlnm._FilterDatabase" localSheetId="2" hidden="1">'Timeline &amp; Dependencies'!$A$1:$J$9</definedName>
    <definedName name="_xlnm._FilterDatabase" localSheetId="3" hidden="1">'Work Log'!$A$1:$G$2</definedName>
    <definedName name="_xlnm._FilterDatabase" localSheetId="4" hidden="1">'Evidence Register'!$A$1:$I$17</definedName>
    <definedName name="_xlnm._FilterDatabase" localSheetId="5" hidden="1">'Test Register'!$A$1:$H$6</definedName>
    <definedName name="_xlnm._FilterDatabase" localSheetId="6" hidden="1">'Model Results'!$A$1:$L$3</definedName>
    <definedName name="_xlnm._FilterDatabase" localSheetId="7" hidden="1">'Submission Checklist'!$A$1:$C$16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"/>
    <numFmt numFmtId="165" formatCode="yyyy-mm-dd"/>
    <numFmt numFmtId="166" formatCode="0.0000"/>
    <numFmt numFmtId="167" formatCode="dd-mmmm-yyyy"/>
  </numFmts>
  <fonts count="16">
    <font>
      <name val="Calibri"/>
      <family val="2"/>
      <color theme="1"/>
      <sz val="11"/>
      <scheme val="minor"/>
    </font>
    <font>
      <name val="Aptos"/>
      <b val="1"/>
      <color rgb="00FFFFFF"/>
      <sz val="10"/>
    </font>
    <font>
      <name val="Aptos"/>
      <color rgb="00203040"/>
      <sz val="10"/>
    </font>
    <font>
      <name val="Aptos"/>
      <color rgb="001769AA"/>
      <sz val="9"/>
      <u val="single"/>
    </font>
    <font>
      <name val="Aptos Display"/>
      <b val="1"/>
      <color rgb="00FFFFFF"/>
      <sz val="18"/>
    </font>
    <font>
      <name val="Aptos"/>
      <i val="1"/>
      <color rgb="00203040"/>
      <sz val="10"/>
    </font>
    <font>
      <name val="Aptos"/>
      <b val="1"/>
      <color rgb="00FFFFFF"/>
      <sz val="11"/>
    </font>
    <font>
      <name val="Aptos"/>
      <b val="1"/>
      <color rgb="005D6B78"/>
      <sz val="10"/>
    </font>
    <font>
      <name val="Aptos Display"/>
      <b val="1"/>
      <color rgb="0017324D"/>
      <sz val="19"/>
    </font>
    <font>
      <name val="Aptos"/>
      <b val="1"/>
      <color rgb="00FFFFFF"/>
    </font>
    <font>
      <name val="Aptos"/>
      <color rgb="00203040"/>
      <sz val="11"/>
    </font>
    <font>
      <b val="1"/>
      <color rgb="00FFFFFF"/>
    </font>
    <font>
      <name val="Aptos"/>
      <b val="1"/>
      <color rgb="00FFFFFF"/>
      <sz val="18"/>
    </font>
    <font>
      <name val="Aptos"/>
      <b val="1"/>
      <color rgb="00203040"/>
      <sz val="10"/>
    </font>
    <font>
      <name val="Aptos"/>
      <b val="1"/>
      <color rgb="00203040"/>
      <sz val="20"/>
    </font>
    <font>
      <name val="Aptos"/>
      <color rgb="00203040"/>
      <sz val="9"/>
    </font>
  </fonts>
  <fills count="8">
    <fill>
      <patternFill/>
    </fill>
    <fill>
      <patternFill patternType="gray125"/>
    </fill>
    <fill>
      <patternFill patternType="solid">
        <fgColor rgb="00147D83"/>
      </patternFill>
    </fill>
    <fill>
      <patternFill patternType="solid">
        <fgColor rgb="00DCEAF4"/>
      </patternFill>
    </fill>
    <fill>
      <patternFill patternType="solid">
        <fgColor rgb="00FFF0CE"/>
      </patternFill>
    </fill>
    <fill>
      <patternFill patternType="solid">
        <fgColor rgb="0017324D"/>
      </patternFill>
    </fill>
    <fill>
      <patternFill patternType="solid">
        <fgColor rgb="00E3F2F1"/>
      </patternFill>
    </fill>
    <fill>
      <patternFill patternType="solid">
        <fgColor rgb="00F3F6F8"/>
      </patternFill>
    </fill>
  </fills>
  <borders count="3">
    <border>
      <left/>
      <right/>
      <top/>
      <bottom/>
      <diagonal/>
    </border>
    <border>
      <bottom style="medium">
        <color rgb="0017324D"/>
      </bottom>
    </border>
    <border>
      <bottom style="thin">
        <color rgb="00D4DEE5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4" fillId="5" borderId="0" applyAlignment="1" pivotButton="0" quotePrefix="0" xfId="0">
      <alignment vertical="center"/>
    </xf>
    <xf numFmtId="0" fontId="5" fillId="6" borderId="0" applyAlignment="1" pivotButton="0" quotePrefix="0" xfId="0">
      <alignment vertical="center" wrapText="1"/>
    </xf>
    <xf numFmtId="0" fontId="6" fillId="2" borderId="0" applyAlignment="1" pivotButton="0" quotePrefix="0" xfId="0">
      <alignment vertical="center"/>
    </xf>
    <xf numFmtId="0" fontId="7" fillId="7" borderId="0" applyAlignment="1" pivotButton="0" quotePrefix="0" xfId="0">
      <alignment horizontal="center" vertical="center"/>
    </xf>
    <xf numFmtId="0" fontId="8" fillId="6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0" fontId="9" fillId="5" borderId="0" applyAlignment="1" pivotButton="0" quotePrefix="0" xfId="0">
      <alignment vertical="center" wrapText="1"/>
    </xf>
    <xf numFmtId="0" fontId="2" fillId="0" borderId="2" applyAlignment="1" pivotButton="0" quotePrefix="0" xfId="0">
      <alignment vertical="center" wrapText="1"/>
    </xf>
    <xf numFmtId="164" fontId="2" fillId="0" borderId="2" applyAlignment="1" pivotButton="0" quotePrefix="0" xfId="0">
      <alignment vertical="center" wrapText="1"/>
    </xf>
    <xf numFmtId="0" fontId="9" fillId="2" borderId="0" pivotButton="0" quotePrefix="0" xfId="0"/>
    <xf numFmtId="0" fontId="10" fillId="7" borderId="0" applyAlignment="1" pivotButton="0" quotePrefix="0" xfId="0">
      <alignment vertical="top" wrapText="1"/>
    </xf>
    <xf numFmtId="0" fontId="10" fillId="4" borderId="0" applyAlignment="1" pivotButton="0" quotePrefix="0" xfId="0">
      <alignment vertical="top" wrapText="1"/>
    </xf>
    <xf numFmtId="0" fontId="1" fillId="2" borderId="1" applyAlignment="1" pivotButton="0" quotePrefix="0" xfId="0">
      <alignment vertical="center" wrapText="1"/>
    </xf>
    <xf numFmtId="0" fontId="2" fillId="0" borderId="2" applyAlignment="1" pivotButton="0" quotePrefix="0" xfId="0">
      <alignment vertical="top" wrapText="1"/>
    </xf>
    <xf numFmtId="0" fontId="2" fillId="3" borderId="2" applyAlignment="1" pivotButton="0" quotePrefix="0" xfId="0">
      <alignment vertical="top" wrapText="1"/>
    </xf>
    <xf numFmtId="164" fontId="2" fillId="0" borderId="2" applyAlignment="1" pivotButton="0" quotePrefix="0" xfId="0">
      <alignment vertical="top" wrapText="1"/>
    </xf>
    <xf numFmtId="0" fontId="3" fillId="0" borderId="2" applyAlignment="1" pivotButton="0" quotePrefix="0" xfId="0">
      <alignment vertical="top" wrapText="1"/>
    </xf>
    <xf numFmtId="164" fontId="2" fillId="4" borderId="2" applyAlignment="1" pivotButton="0" quotePrefix="0" xfId="0">
      <alignment vertical="top" wrapText="1"/>
    </xf>
    <xf numFmtId="0" fontId="2" fillId="4" borderId="2" applyAlignment="1" pivotButton="0" quotePrefix="0" xfId="0">
      <alignment vertical="top" wrapText="1"/>
    </xf>
    <xf numFmtId="165" fontId="2" fillId="0" borderId="2" applyAlignment="1" pivotButton="0" quotePrefix="0" xfId="0">
      <alignment vertical="top" wrapText="1"/>
    </xf>
    <xf numFmtId="166" fontId="2" fillId="0" borderId="2" applyAlignment="1" pivotButton="0" quotePrefix="0" xfId="0">
      <alignment vertical="top" wrapText="1"/>
    </xf>
    <xf numFmtId="164" fontId="8" fillId="4" borderId="0" applyAlignment="1" pivotButton="0" quotePrefix="0" xfId="0">
      <alignment horizontal="center" vertical="center"/>
    </xf>
    <xf numFmtId="0" fontId="12" fillId="5" borderId="0" applyAlignment="1" pivotButton="0" quotePrefix="0" xfId="0">
      <alignment vertical="center" wrapText="1"/>
    </xf>
    <xf numFmtId="0" fontId="6" fillId="2" borderId="0" applyAlignment="1" pivotButton="0" quotePrefix="0" xfId="0">
      <alignment vertical="center" wrapText="1"/>
    </xf>
    <xf numFmtId="0" fontId="13" fillId="7" borderId="0" applyAlignment="1" pivotButton="0" quotePrefix="0" xfId="0">
      <alignment vertical="center" wrapText="1"/>
    </xf>
    <xf numFmtId="0" fontId="14" fillId="6" borderId="0" applyAlignment="1" pivotButton="0" quotePrefix="0" xfId="0">
      <alignment vertical="center" wrapText="1"/>
    </xf>
    <xf numFmtId="0" fontId="14" fillId="4" borderId="0" applyAlignment="1" pivotButton="0" quotePrefix="0" xfId="0">
      <alignment vertical="center" wrapText="1"/>
    </xf>
    <xf numFmtId="0" fontId="11" fillId="5" borderId="0" applyAlignment="1" pivotButton="0" quotePrefix="0" xfId="0">
      <alignment wrapText="1"/>
    </xf>
    <xf numFmtId="0" fontId="0" fillId="0" borderId="2" applyAlignment="1" pivotButton="0" quotePrefix="0" xfId="0">
      <alignment vertical="center" wrapText="1"/>
    </xf>
    <xf numFmtId="164" fontId="0" fillId="0" borderId="2" applyAlignment="1" pivotButton="0" quotePrefix="0" xfId="0">
      <alignment vertical="center" wrapText="1"/>
    </xf>
    <xf numFmtId="0" fontId="5" fillId="7" borderId="0" applyAlignment="1" pivotButton="0" quotePrefix="0" xfId="0">
      <alignment vertical="center" wrapText="1"/>
    </xf>
    <xf numFmtId="0" fontId="5" fillId="4" borderId="0" applyAlignment="1" pivotButton="0" quotePrefix="0" xfId="0">
      <alignment vertical="center" wrapText="1"/>
    </xf>
    <xf numFmtId="0" fontId="9" fillId="2" borderId="1" applyAlignment="1" pivotButton="0" quotePrefix="0" xfId="0">
      <alignment vertical="center" wrapText="1"/>
    </xf>
    <xf numFmtId="0" fontId="0" fillId="0" borderId="2" applyAlignment="1" pivotButton="0" quotePrefix="0" xfId="0">
      <alignment vertical="top" wrapText="1"/>
    </xf>
    <xf numFmtId="0" fontId="0" fillId="3" borderId="2" applyAlignment="1" pivotButton="0" quotePrefix="0" xfId="0">
      <alignment vertical="top" wrapText="1"/>
    </xf>
    <xf numFmtId="164" fontId="0" fillId="0" borderId="2" applyAlignment="1" pivotButton="0" quotePrefix="0" xfId="0">
      <alignment vertical="top" wrapText="1"/>
    </xf>
    <xf numFmtId="0" fontId="0" fillId="4" borderId="2" applyAlignment="1" pivotButton="0" quotePrefix="0" xfId="0">
      <alignment vertical="top" wrapText="1"/>
    </xf>
    <xf numFmtId="0" fontId="11" fillId="2" borderId="0" applyAlignment="1" pivotButton="0" quotePrefix="0" xfId="0">
      <alignment wrapText="1"/>
    </xf>
    <xf numFmtId="165" fontId="0" fillId="0" borderId="2" applyAlignment="1" pivotButton="0" quotePrefix="0" xfId="0">
      <alignment vertical="top" wrapText="1"/>
    </xf>
    <xf numFmtId="0" fontId="11" fillId="2" borderId="1" applyAlignment="1" pivotButton="0" quotePrefix="0" xfId="0">
      <alignment wrapText="1"/>
    </xf>
    <xf numFmtId="167" fontId="0" fillId="0" borderId="2" applyAlignment="1" pivotButton="0" quotePrefix="0" xfId="0">
      <alignment vertical="top" wrapText="1"/>
    </xf>
    <xf numFmtId="0" fontId="1" fillId="2" borderId="0" applyAlignment="1" pivotButton="0" quotePrefix="0" xfId="0">
      <alignment vertical="center" wrapText="1"/>
    </xf>
    <xf numFmtId="167" fontId="15" fillId="0" borderId="2" applyAlignment="1" pivotButton="0" quotePrefix="0" xfId="0">
      <alignment vertical="top" wrapText="1"/>
    </xf>
    <xf numFmtId="0" fontId="15" fillId="0" borderId="2" applyAlignment="1" pivotButton="0" quotePrefix="0" xfId="0">
      <alignment vertical="top" wrapText="1"/>
    </xf>
    <xf numFmtId="164" fontId="15" fillId="0" borderId="2" applyAlignment="1" pivotButton="0" quotePrefix="0" xfId="0">
      <alignment vertical="top" wrapText="1"/>
    </xf>
    <xf numFmtId="0" fontId="15" fillId="4" borderId="2" applyAlignment="1" pivotButton="0" quotePrefix="0" xfId="0">
      <alignment vertical="top" wrapText="1"/>
    </xf>
    <xf numFmtId="0" fontId="15" fillId="6" borderId="2" applyAlignment="1" pivotButton="0" quotePrefix="0" xfId="0">
      <alignment vertical="top" wrapText="1"/>
    </xf>
    <xf numFmtId="164" fontId="14" fillId="4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Planned hours by phase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'Dashboard'!G11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'Dashboard'!$F$12:$F$26</f>
            </numRef>
          </cat>
          <val>
            <numRef>
              <f>'Dashboard'!$G$12:$G$26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Hours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Phase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16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MasterTasks" displayName="MasterTasks" ref="A1:P69" headerRowCount="1">
  <autoFilter ref="A1:P69"/>
  <tableColumns count="16">
    <tableColumn id="1" name="Task ID"/>
    <tableColumn id="2" name="Phase Order"/>
    <tableColumn id="3" name="Phase"/>
    <tableColumn id="4" name="Task / Deliverable"/>
    <tableColumn id="5" name="Requirement / Black Book Mapping"/>
    <tableColumn id="6" name="Owner"/>
    <tableColumn id="7" name="Planned Hours"/>
    <tableColumn id="8" name="Illustrative Planned Date"/>
    <tableColumn id="9" name="Dependencies"/>
    <tableColumn id="10" name="Status"/>
    <tableColumn id="11" name="Completion Date"/>
    <tableColumn id="12" name="Milestone / Workstream Label"/>
    <tableColumn id="13" name="Issue / Limitation"/>
    <tableColumn id="14" name="Deliverable / Evidence"/>
    <tableColumn id="15" name="Source Notes"/>
    <tableColumn id="16" name="Actual Hours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PhaseTimeline" displayName="PhaseTimeline" ref="A1:I16" headerRowCount="1">
  <autoFilter ref="A1:I16"/>
  <tableColumns count="9">
    <tableColumn id="1" name="Phase Order"/>
    <tableColumn id="2" name="Phase"/>
    <tableColumn id="3" name="Task IDs"/>
    <tableColumn id="4" name="Planned Hours"/>
    <tableColumn id="5" name="Task Count"/>
    <tableColumn id="6" name="Illustrative Planned Date"/>
    <tableColumn id="7" name="Dependencies"/>
    <tableColumn id="8" name="Timeline Basis / Notes"/>
    <tableColumn id="9" name="Status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WorkLog" displayName="WorkLog" ref="A1:G2" headerRowCount="1">
  <autoFilter ref="A1:G2"/>
  <tableColumns count="7">
    <tableColumn id="1" name="Date"/>
    <tableColumn id="2" name="Task ID"/>
    <tableColumn id="3" name="Owner / Actor"/>
    <tableColumn id="4" name="Activity"/>
    <tableColumn id="5" name="Actual Hours"/>
    <tableColumn id="6" name="Evidence"/>
    <tableColumn id="7" name="Outcom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EvidenceRegister" displayName="EvidenceRegister" ref="A1:I17" headerRowCount="1">
  <autoFilter ref="A1:I17"/>
  <tableColumns count="9">
    <tableColumn id="1" name="Evidence ID"/>
    <tableColumn id="2" name="Date"/>
    <tableColumn id="3" name="Task ID(s)"/>
    <tableColumn id="4" name="Evidence Type"/>
    <tableColumn id="5" name="Description"/>
    <tableColumn id="6" name="File Path"/>
    <tableColumn id="7" name="Result"/>
    <tableColumn id="8" name="Verified By / Source"/>
    <tableColumn id="9" name="Notes"/>
  </tableColumns>
  <tableStyleInfo name="TableStyleMedium2" showRowStripes="1" showColumnStripes="0"/>
</table>
</file>

<file path=xl/tables/table5.xml><?xml version="1.0" encoding="utf-8"?>
<table xmlns="http://schemas.openxmlformats.org/spreadsheetml/2006/main" id="5" name="TestRegister" displayName="TestRegister" ref="A1:H6" headerRowCount="1">
  <autoFilter ref="A1:H6"/>
  <tableColumns count="8">
    <tableColumn id="1" name="Test ID"/>
    <tableColumn id="2" name="Task ID(s)"/>
    <tableColumn id="3" name="Test"/>
    <tableColumn id="4" name="Command"/>
    <tableColumn id="5" name="Expected"/>
    <tableColumn id="6" name="Actual"/>
    <tableColumn id="7" name="Status"/>
    <tableColumn id="8" name="Evidence"/>
  </tableColumns>
  <tableStyleInfo name="TableStyleMedium2" showRowStripes="1" showColumnStripes="0"/>
</table>
</file>

<file path=xl/tables/table6.xml><?xml version="1.0" encoding="utf-8"?>
<table xmlns="http://schemas.openxmlformats.org/spreadsheetml/2006/main" id="6" name="ModelResults" displayName="ModelResults" ref="A1:L3" headerRowCount="1">
  <autoFilter ref="A1:L3"/>
  <tableColumns count="12">
    <tableColumn id="1" name="Model"/>
    <tableColumn id="2" name="Dataset"/>
    <tableColumn id="3" name="Target"/>
    <tableColumn id="4" name="ROC-AUC"/>
    <tableColumn id="5" name="PR-AUC"/>
    <tableColumn id="6" name="Accuracy"/>
    <tableColumn id="7" name="Precision"/>
    <tableColumn id="8" name="Recall"/>
    <tableColumn id="9" name="F1"/>
    <tableColumn id="10" name="Run Date"/>
    <tableColumn id="11" name="Artifact"/>
    <tableColumn id="12" name="Status / Interpretatio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SubmissionChecklist" displayName="SubmissionChecklist" ref="A1:C16" headerRowCount="1">
  <autoFilter ref="A1:C16"/>
  <tableColumns count="3">
    <tableColumn id="1" name="Submission Item"/>
    <tableColumn id="2" name="Current Value / State"/>
    <tableColumn id="3" name="Basis / Action Needed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LegacyCrosswalk" displayName="LegacyCrosswalk" ref="A1:D18" headerRowCount="1">
  <autoFilter ref="A1:D18"/>
  <tableColumns count="4">
    <tableColumn id="1" name="Legacy Task ID"/>
    <tableColumn id="2" name="Legacy Task"/>
    <tableColumn id="3" name="Planned Distribution Task IDs"/>
    <tableColumn id="4" name="Crosswalk Note"/>
  </tableColumns>
  <tableStyleInfo name="TableStyleMedium2" showRowStripes="1" showColumnStripes="0"/>
</table>
</file>

<file path=xl/tables/table9.xml><?xml version="1.0" encoding="utf-8"?>
<table xmlns="http://schemas.openxmlformats.org/spreadsheetml/2006/main" id="9" name="SamikshaWorkLog" displayName="SamikshaWorkLog" ref="A1:J29" headerRowCount="1">
  <autoFilter ref="A1:J29"/>
  <tableColumns count="10">
    <tableColumn id="1" name="Illustrative Planned Date"/>
    <tableColumn id="2" name="Task ID"/>
    <tableColumn id="3" name="Planned Task / Activity"/>
    <tableColumn id="4" name="Assignment Basis"/>
    <tableColumn id="5" name="Planned Hours"/>
    <tableColumn id="6" name="Actual Hours"/>
    <tableColumn id="7" name="Actual Work Performed"/>
    <tableColumn id="8" name="Evidence (confirm contribution)"/>
    <tableColumn id="9" name="Outcome / Completion Notes"/>
    <tableColumn id="10" name="Entry Status"/>
  </tableColumns>
  <tableStyleInfo name="TableStyleMedium2" showRowStripes="1" showColumnStripes="0"/>
</table>
</file>

<file path=xl/tables/table10.xml><?xml version="1.0" encoding="utf-8"?>
<table xmlns="http://schemas.openxmlformats.org/spreadsheetml/2006/main" id="10" name="ZahirWorkLog" displayName="ZahirWorkLog" ref="A1:J46" headerRowCount="1">
  <autoFilter ref="A1:J46"/>
  <tableColumns count="10">
    <tableColumn id="1" name="Illustrative Planned Date"/>
    <tableColumn id="2" name="Task ID"/>
    <tableColumn id="3" name="Planned Task / Activity"/>
    <tableColumn id="4" name="Assignment Basis"/>
    <tableColumn id="5" name="Planned Hours"/>
    <tableColumn id="6" name="Actual Hours"/>
    <tableColumn id="7" name="Actual Work Performed"/>
    <tableColumn id="8" name="Evidence (confirm contribution)"/>
    <tableColumn id="9" name="Outcome / Completion Notes"/>
    <tableColumn id="10" name="Entry Status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sheet1.xml><?xml version="1.0" encoding="utf-8"?>
<worksheet xmlns="http://schemas.openxmlformats.org/spreadsheetml/2006/main">
  <sheetPr>
    <tabColor rgb="00147D83"/>
    <outlinePr summaryBelow="1" summaryRight="1"/>
    <pageSetUpPr fitToPage="1"/>
  </sheetPr>
  <dimension ref="A1:H38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20" customWidth="1" min="3" max="3"/>
    <col width="24" customWidth="1" min="4" max="4"/>
    <col width="18" customWidth="1" min="5" max="5"/>
    <col width="24" customWidth="1" min="6" max="6"/>
    <col width="18" customWidth="1" min="7" max="7"/>
    <col width="24" customWidth="1" min="8" max="8"/>
  </cols>
  <sheetData>
    <row r="1" ht="36" customHeight="1">
      <c r="A1" s="23" t="inlineStr">
        <is>
          <t>ADMITFLOW | PLANNED WORK DISTRIBUTION</t>
        </is>
      </c>
    </row>
    <row r="2" ht="36" customHeight="1">
      <c r="A2" s="2" t="inlineStr">
        <is>
          <t>Task IDs, workstreams, owners and planned hours follow the supplied allocation. Dates, dependencies and task-level status are not recorded in that plan.</t>
        </is>
      </c>
    </row>
    <row r="4" ht="24" customHeight="1">
      <c r="A4" s="24" t="inlineStr">
        <is>
          <t>PROJECT SNAPSHOT</t>
        </is>
      </c>
    </row>
    <row r="5" ht="22" customHeight="1">
      <c r="A5" s="25" t="inlineStr">
        <is>
          <t>Planned tasks</t>
        </is>
      </c>
      <c r="E5" s="25" t="inlineStr">
        <is>
          <t>Total planned hours</t>
        </is>
      </c>
    </row>
    <row r="6" ht="34" customHeight="1">
      <c r="A6" s="26">
        <f>COUNTA('Master Tracker'!$A$2:$A$69)</f>
        <v/>
      </c>
      <c r="E6" s="26">
        <f>SUM('Master Tracker'!$G$2:$G$69)</f>
        <v/>
      </c>
    </row>
    <row r="8" ht="22" customHeight="1">
      <c r="A8" s="25" t="inlineStr">
        <is>
          <t>Actual hours recorded</t>
        </is>
      </c>
      <c r="E8" s="25" t="inlineStr">
        <is>
          <t>Task statuses recorded</t>
        </is>
      </c>
    </row>
    <row r="9" ht="34" customHeight="1">
      <c r="A9" s="48">
        <f>SUM('Master Tracker'!$P$2:$P$69)+SUM('Work Log'!$E$2:$E$2)</f>
        <v/>
      </c>
      <c r="E9" s="26">
        <f>0</f>
        <v/>
      </c>
    </row>
    <row r="10" ht="24" customHeight="1">
      <c r="A10" s="24" t="inlineStr">
        <is>
          <t>OWNER DISTRIBUTION</t>
        </is>
      </c>
      <c r="E10" s="24" t="inlineStr">
        <is>
          <t>PHASE EFFORT</t>
        </is>
      </c>
    </row>
    <row r="11">
      <c r="A11" s="28" t="inlineStr">
        <is>
          <t>Owner</t>
        </is>
      </c>
      <c r="B11" s="28" t="inlineStr">
        <is>
          <t>Task Count</t>
        </is>
      </c>
      <c r="C11" s="28" t="inlineStr">
        <is>
          <t>Planned Hours</t>
        </is>
      </c>
      <c r="D11" s="28" t="inlineStr">
        <is>
          <t>Source</t>
        </is>
      </c>
      <c r="E11" s="28" t="inlineStr">
        <is>
          <t>Phase Order</t>
        </is>
      </c>
      <c r="F11" s="28" t="inlineStr">
        <is>
          <t>Phase</t>
        </is>
      </c>
      <c r="G11" s="28" t="inlineStr">
        <is>
          <t>Planned Hours</t>
        </is>
      </c>
      <c r="H11" s="28" t="inlineStr">
        <is>
          <t>Task Count</t>
        </is>
      </c>
    </row>
    <row r="12" ht="27" customHeight="1">
      <c r="A12" s="29" t="inlineStr">
        <is>
          <t>Zahir</t>
        </is>
      </c>
      <c r="B12" s="29">
        <f>COUNTIF('Master Tracker'!$F$2:$F$69,A12)</f>
        <v/>
      </c>
      <c r="C12" s="30">
        <f>SUMIF('Master Tracker'!$F$2:$F$69,A12,'Master Tracker'!$G$2:$G$69)</f>
        <v/>
      </c>
      <c r="D12" s="29" t="inlineStr">
        <is>
          <t>Supplied distribution</t>
        </is>
      </c>
      <c r="E12" s="29" t="n">
        <v>1</v>
      </c>
      <c r="F12" s="29" t="inlineStr">
        <is>
          <t>Foundation</t>
        </is>
      </c>
      <c r="G12" s="30">
        <f>SUMIF('Master Tracker'!$B$2:$B$69,E12,'Master Tracker'!$G$2:$G$69)</f>
        <v/>
      </c>
      <c r="H12" s="29">
        <f>COUNTIF('Master Tracker'!$B$2:$B$69,E12)</f>
        <v/>
      </c>
    </row>
    <row r="13" ht="27" customHeight="1">
      <c r="A13" s="29" t="inlineStr">
        <is>
          <t>Samiksha</t>
        </is>
      </c>
      <c r="B13" s="29">
        <f>COUNTIF('Master Tracker'!$F$2:$F$69,A13)</f>
        <v/>
      </c>
      <c r="C13" s="30">
        <f>SUMIF('Master Tracker'!$F$2:$F$69,A13,'Master Tracker'!$G$2:$G$69)</f>
        <v/>
      </c>
      <c r="D13" s="29" t="inlineStr">
        <is>
          <t>Supplied distribution</t>
        </is>
      </c>
      <c r="E13" s="29" t="n">
        <v>2</v>
      </c>
      <c r="F13" s="29" t="inlineStr">
        <is>
          <t>Planning</t>
        </is>
      </c>
      <c r="G13" s="30">
        <f>SUMIF('Master Tracker'!$B$2:$B$69,E13,'Master Tracker'!$G$2:$G$69)</f>
        <v/>
      </c>
      <c r="H13" s="29">
        <f>COUNTIF('Master Tracker'!$B$2:$B$69,E13)</f>
        <v/>
      </c>
    </row>
    <row r="14" ht="27" customHeight="1">
      <c r="A14" s="29" t="inlineStr">
        <is>
          <t>Both</t>
        </is>
      </c>
      <c r="B14" s="29">
        <f>COUNTIF('Master Tracker'!$F$2:$F$69,A14)</f>
        <v/>
      </c>
      <c r="C14" s="30">
        <f>SUMIF('Master Tracker'!$F$2:$F$69,A14,'Master Tracker'!$G$2:$G$69)</f>
        <v/>
      </c>
      <c r="D14" s="29" t="inlineStr">
        <is>
          <t>Supplied distribution</t>
        </is>
      </c>
      <c r="E14" s="29" t="n">
        <v>3</v>
      </c>
      <c r="F14" s="29" t="inlineStr">
        <is>
          <t>Requirements</t>
        </is>
      </c>
      <c r="G14" s="30">
        <f>SUMIF('Master Tracker'!$B$2:$B$69,E14,'Master Tracker'!$G$2:$G$69)</f>
        <v/>
      </c>
      <c r="H14" s="29">
        <f>COUNTIF('Master Tracker'!$B$2:$B$69,E14)</f>
        <v/>
      </c>
    </row>
    <row r="15" ht="27" customHeight="1">
      <c r="A15" s="29" t="n"/>
      <c r="B15" s="29" t="n"/>
      <c r="C15" s="30" t="n"/>
      <c r="D15" s="29" t="n"/>
      <c r="E15" s="29" t="n">
        <v>4</v>
      </c>
      <c r="F15" s="29" t="inlineStr">
        <is>
          <t>Data</t>
        </is>
      </c>
      <c r="G15" s="30">
        <f>SUMIF('Master Tracker'!$B$2:$B$69,E15,'Master Tracker'!$G$2:$G$69)</f>
        <v/>
      </c>
      <c r="H15" s="29">
        <f>COUNTIF('Master Tracker'!$B$2:$B$69,E15)</f>
        <v/>
      </c>
    </row>
    <row r="16" ht="27" customHeight="1">
      <c r="A16" s="29" t="n"/>
      <c r="B16" s="29" t="n"/>
      <c r="C16" s="30" t="n"/>
      <c r="D16" s="29" t="n"/>
      <c r="E16" s="29" t="n">
        <v>5</v>
      </c>
      <c r="F16" s="29" t="inlineStr">
        <is>
          <t>Analytics</t>
        </is>
      </c>
      <c r="G16" s="30">
        <f>SUMIF('Master Tracker'!$B$2:$B$69,E16,'Master Tracker'!$G$2:$G$69)</f>
        <v/>
      </c>
      <c r="H16" s="29">
        <f>COUNTIF('Master Tracker'!$B$2:$B$69,E16)</f>
        <v/>
      </c>
    </row>
    <row r="17" ht="27" customHeight="1">
      <c r="A17" s="29" t="n"/>
      <c r="B17" s="29" t="n"/>
      <c r="C17" s="30" t="n"/>
      <c r="D17" s="29" t="n"/>
      <c r="E17" s="29" t="n">
        <v>6</v>
      </c>
      <c r="F17" s="29" t="inlineStr">
        <is>
          <t>ML</t>
        </is>
      </c>
      <c r="G17" s="30">
        <f>SUMIF('Master Tracker'!$B$2:$B$69,E17,'Master Tracker'!$G$2:$G$69)</f>
        <v/>
      </c>
      <c r="H17" s="29">
        <f>COUNTIF('Master Tracker'!$B$2:$B$69,E17)</f>
        <v/>
      </c>
    </row>
    <row r="18" ht="27" customHeight="1">
      <c r="A18" s="29" t="n"/>
      <c r="B18" s="29" t="n"/>
      <c r="C18" s="30" t="n"/>
      <c r="D18" s="29" t="n"/>
      <c r="E18" s="29" t="n">
        <v>7</v>
      </c>
      <c r="F18" s="29" t="inlineStr">
        <is>
          <t>Backend</t>
        </is>
      </c>
      <c r="G18" s="30">
        <f>SUMIF('Master Tracker'!$B$2:$B$69,E18,'Master Tracker'!$G$2:$G$69)</f>
        <v/>
      </c>
      <c r="H18" s="29">
        <f>COUNTIF('Master Tracker'!$B$2:$B$69,E18)</f>
        <v/>
      </c>
    </row>
    <row r="19" ht="27" customHeight="1">
      <c r="A19" s="29" t="n"/>
      <c r="B19" s="29" t="n"/>
      <c r="C19" s="30" t="n"/>
      <c r="D19" s="29" t="n"/>
      <c r="E19" s="29" t="n">
        <v>8</v>
      </c>
      <c r="F19" s="29" t="inlineStr">
        <is>
          <t>Frontend</t>
        </is>
      </c>
      <c r="G19" s="30">
        <f>SUMIF('Master Tracker'!$B$2:$B$69,E19,'Master Tracker'!$G$2:$G$69)</f>
        <v/>
      </c>
      <c r="H19" s="29">
        <f>COUNTIF('Master Tracker'!$B$2:$B$69,E19)</f>
        <v/>
      </c>
    </row>
    <row r="20" ht="27" customHeight="1">
      <c r="A20" s="29" t="n"/>
      <c r="B20" s="29" t="n"/>
      <c r="C20" s="30" t="n"/>
      <c r="D20" s="29" t="n"/>
      <c r="E20" s="29" t="n">
        <v>9</v>
      </c>
      <c r="F20" s="29" t="inlineStr">
        <is>
          <t>Engineering</t>
        </is>
      </c>
      <c r="G20" s="30">
        <f>SUMIF('Master Tracker'!$B$2:$B$69,E20,'Master Tracker'!$G$2:$G$69)</f>
        <v/>
      </c>
      <c r="H20" s="29">
        <f>COUNTIF('Master Tracker'!$B$2:$B$69,E20)</f>
        <v/>
      </c>
    </row>
    <row r="21" ht="27" customHeight="1">
      <c r="A21" s="29" t="n"/>
      <c r="B21" s="29" t="n"/>
      <c r="C21" s="30" t="n"/>
      <c r="D21" s="29" t="n"/>
      <c r="E21" s="29" t="n">
        <v>10</v>
      </c>
      <c r="F21" s="29" t="inlineStr">
        <is>
          <t>Deployment</t>
        </is>
      </c>
      <c r="G21" s="30">
        <f>SUMIF('Master Tracker'!$B$2:$B$69,E21,'Master Tracker'!$G$2:$G$69)</f>
        <v/>
      </c>
      <c r="H21" s="29">
        <f>COUNTIF('Master Tracker'!$B$2:$B$69,E21)</f>
        <v/>
      </c>
    </row>
    <row r="22" ht="27" customHeight="1">
      <c r="A22" s="29" t="n"/>
      <c r="B22" s="29" t="n"/>
      <c r="C22" s="30" t="n"/>
      <c r="D22" s="29" t="n"/>
      <c r="E22" s="29" t="n">
        <v>11</v>
      </c>
      <c r="F22" s="29" t="inlineStr">
        <is>
          <t>Documentation</t>
        </is>
      </c>
      <c r="G22" s="30">
        <f>SUMIF('Master Tracker'!$B$2:$B$69,E22,'Master Tracker'!$G$2:$G$69)</f>
        <v/>
      </c>
      <c r="H22" s="29">
        <f>COUNTIF('Master Tracker'!$B$2:$B$69,E22)</f>
        <v/>
      </c>
    </row>
    <row r="23" ht="27" customHeight="1">
      <c r="A23" s="29" t="n"/>
      <c r="B23" s="29" t="n"/>
      <c r="C23" s="30" t="n"/>
      <c r="D23" s="29" t="n"/>
      <c r="E23" s="29" t="n">
        <v>12</v>
      </c>
      <c r="F23" s="29" t="inlineStr">
        <is>
          <t>Black Book</t>
        </is>
      </c>
      <c r="G23" s="30">
        <f>SUMIF('Master Tracker'!$B$2:$B$69,E23,'Master Tracker'!$G$2:$G$69)</f>
        <v/>
      </c>
      <c r="H23" s="29">
        <f>COUNTIF('Master Tracker'!$B$2:$B$69,E23)</f>
        <v/>
      </c>
    </row>
    <row r="24" ht="27" customHeight="1">
      <c r="A24" s="29" t="n"/>
      <c r="B24" s="29" t="n"/>
      <c r="C24" s="30" t="n"/>
      <c r="D24" s="29" t="n"/>
      <c r="E24" s="29" t="n">
        <v>13</v>
      </c>
      <c r="F24" s="29" t="inlineStr">
        <is>
          <t>QA</t>
        </is>
      </c>
      <c r="G24" s="30">
        <f>SUMIF('Master Tracker'!$B$2:$B$69,E24,'Master Tracker'!$G$2:$G$69)</f>
        <v/>
      </c>
      <c r="H24" s="29">
        <f>COUNTIF('Master Tracker'!$B$2:$B$69,E24)</f>
        <v/>
      </c>
    </row>
    <row r="25" ht="27" customHeight="1">
      <c r="A25" s="29" t="n"/>
      <c r="B25" s="29" t="n"/>
      <c r="C25" s="30" t="n"/>
      <c r="D25" s="29" t="n"/>
      <c r="E25" s="29" t="n">
        <v>14</v>
      </c>
      <c r="F25" s="29" t="inlineStr">
        <is>
          <t>Demo</t>
        </is>
      </c>
      <c r="G25" s="30">
        <f>SUMIF('Master Tracker'!$B$2:$B$69,E25,'Master Tracker'!$G$2:$G$69)</f>
        <v/>
      </c>
      <c r="H25" s="29">
        <f>COUNTIF('Master Tracker'!$B$2:$B$69,E25)</f>
        <v/>
      </c>
    </row>
    <row r="26" ht="27" customHeight="1">
      <c r="A26" s="29" t="n"/>
      <c r="B26" s="29" t="n"/>
      <c r="C26" s="30" t="n"/>
      <c r="D26" s="29" t="n"/>
      <c r="E26" s="29" t="n">
        <v>15</v>
      </c>
      <c r="F26" s="29" t="inlineStr">
        <is>
          <t>Final</t>
        </is>
      </c>
      <c r="G26" s="30">
        <f>SUMIF('Master Tracker'!$B$2:$B$69,E26,'Master Tracker'!$G$2:$G$69)</f>
        <v/>
      </c>
      <c r="H26" s="29">
        <f>COUNTIF('Master Tracker'!$B$2:$B$69,E26)</f>
        <v/>
      </c>
    </row>
    <row r="33" ht="24" customHeight="1">
      <c r="E33" s="24" t="inlineStr">
        <is>
          <t>SOURCE AND STATUS NOTES</t>
        </is>
      </c>
    </row>
    <row r="34" ht="70" customHeight="1">
      <c r="E34" s="31" t="inlineStr">
        <is>
          <t>The supplied allocation records planned work only. Dates from 25-Sep-2026 through 03-Oct-2026 are illustrative schedule placeholders, not actual historical work dates. Task-level completion, dependencies, actual hours and outcomes remain unrecorded. Confirm each student's contribution before submission.</t>
        </is>
      </c>
    </row>
    <row r="37" ht="24" customHeight="1">
      <c r="E37" s="24" t="inlineStr">
        <is>
          <t>KNOWN LIMITATIONS</t>
        </is>
      </c>
    </row>
    <row r="38" ht="65" customHeight="1">
      <c r="E38" s="32" t="inlineStr">
        <is>
          <t>Synthetic data; weak classifier results; six annual observations in the forecast; assumption-driven scenarios; process-local audit log; build-size warning. Docker/CI/CD/live deployment and stakeholder study tasks are not verified as complete.</t>
        </is>
      </c>
    </row>
  </sheetData>
  <mergeCells count="17">
    <mergeCell ref="A4:H4"/>
    <mergeCell ref="E37:H37"/>
    <mergeCell ref="A5:C5"/>
    <mergeCell ref="E5:G5"/>
    <mergeCell ref="E34:H34"/>
    <mergeCell ref="A2:H2"/>
    <mergeCell ref="A8:C8"/>
    <mergeCell ref="A6:C6"/>
    <mergeCell ref="E8:G8"/>
    <mergeCell ref="E38:H38"/>
    <mergeCell ref="A9:C9"/>
    <mergeCell ref="E9:G9"/>
    <mergeCell ref="A1:H1"/>
    <mergeCell ref="E33:H33"/>
    <mergeCell ref="A10:D10"/>
    <mergeCell ref="E10:H10"/>
    <mergeCell ref="E6:G6"/>
  </mergeCells>
  <conditionalFormatting sqref="G12:G26">
    <cfRule type="dataBar" priority="1">
      <dataBar showValue="1">
        <cfvo type="num" val="0"/>
        <cfvo type="max"/>
        <color rgb="00147D83"/>
      </dataBar>
    </cfRule>
  </conditionalFormatting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147D83"/>
    <outlinePr summaryBelow="1" summaryRight="1"/>
    <pageSetUpPr fitToPage="1"/>
  </sheetPr>
  <dimension ref="A1:P69"/>
  <sheetViews>
    <sheetView showGridLines="0" zoomScale="75"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21"/>
  <cols>
    <col width="12" customWidth="1" min="1" max="1"/>
    <col width="12" customWidth="1" min="2" max="2"/>
    <col width="18" customWidth="1" min="3" max="3"/>
    <col width="46" customWidth="1" min="4" max="4"/>
    <col width="43" customWidth="1" min="5" max="5"/>
    <col width="16" customWidth="1" min="6" max="6"/>
    <col width="15" customWidth="1" min="7" max="7"/>
    <col width="24" customWidth="1" min="8" max="8"/>
    <col width="19" customWidth="1" min="9" max="9"/>
    <col width="40" customWidth="1" min="10" max="10"/>
    <col width="38" customWidth="1" min="11" max="11"/>
    <col width="18" customWidth="1" min="12" max="12"/>
    <col width="30" customWidth="1" min="13" max="13"/>
    <col width="58" customWidth="1" min="14" max="14"/>
    <col width="76" customWidth="1" min="15" max="15"/>
    <col width="76" customWidth="1" min="16" max="16"/>
    <col width="15" customWidth="1" min="17" max="17"/>
    <col width="44" customWidth="1" min="18" max="18"/>
    <col width="66" customWidth="1" min="19" max="19"/>
    <col width="54" customWidth="1" min="20" max="20"/>
    <col width="15" customWidth="1" min="21" max="21"/>
  </cols>
  <sheetData>
    <row r="1" ht="38" customHeight="1">
      <c r="A1" s="33" t="inlineStr">
        <is>
          <t>Task ID</t>
        </is>
      </c>
      <c r="B1" s="33" t="inlineStr">
        <is>
          <t>Phase Order</t>
        </is>
      </c>
      <c r="C1" s="33" t="inlineStr">
        <is>
          <t>Phase</t>
        </is>
      </c>
      <c r="D1" s="33" t="inlineStr">
        <is>
          <t>Task / Deliverable</t>
        </is>
      </c>
      <c r="E1" s="33" t="inlineStr">
        <is>
          <t>Requirement / Black Book Mapping</t>
        </is>
      </c>
      <c r="F1" s="33" t="inlineStr">
        <is>
          <t>Owner</t>
        </is>
      </c>
      <c r="G1" s="33" t="inlineStr">
        <is>
          <t>Planned Hours</t>
        </is>
      </c>
      <c r="H1" s="33" t="inlineStr">
        <is>
          <t>Illustrative Planned Date</t>
        </is>
      </c>
      <c r="I1" s="33" t="inlineStr">
        <is>
          <t>Dependencies</t>
        </is>
      </c>
      <c r="J1" s="33" t="inlineStr">
        <is>
          <t>Status</t>
        </is>
      </c>
      <c r="K1" s="33" t="inlineStr">
        <is>
          <t>Completion Date</t>
        </is>
      </c>
      <c r="L1" s="33" t="inlineStr">
        <is>
          <t>Milestone / Workstream Label</t>
        </is>
      </c>
      <c r="M1" s="33" t="inlineStr">
        <is>
          <t>Issue / Limitation</t>
        </is>
      </c>
      <c r="N1" s="33" t="inlineStr">
        <is>
          <t>Deliverable / Evidence</t>
        </is>
      </c>
      <c r="O1" s="33" t="inlineStr">
        <is>
          <t>Source Notes</t>
        </is>
      </c>
      <c r="P1" s="33" t="inlineStr">
        <is>
          <t>Actual Hours</t>
        </is>
      </c>
    </row>
    <row r="2" ht="58" customHeight="1">
      <c r="A2" s="34" t="inlineStr">
        <is>
          <t>AF-001</t>
        </is>
      </c>
      <c r="B2" s="34" t="n">
        <v>1</v>
      </c>
      <c r="C2" s="34" t="inlineStr">
        <is>
          <t>Foundation</t>
        </is>
      </c>
      <c r="D2" s="34" t="inlineStr">
        <is>
          <t>Finalize AdmitFlow product scope and positioning</t>
        </is>
      </c>
      <c r="E2" s="34" t="inlineStr">
        <is>
          <t>Product definition</t>
        </is>
      </c>
      <c r="F2" s="35" t="inlineStr">
        <is>
          <t>Zahir</t>
        </is>
      </c>
      <c r="G2" s="36" t="n">
        <v>3</v>
      </c>
      <c r="H2" s="41" t="n">
        <v>46290</v>
      </c>
      <c r="I2" s="34" t="inlineStr">
        <is>
          <t>Not specified in supplied task-distribution image</t>
        </is>
      </c>
      <c r="J2" s="34" t="inlineStr">
        <is>
          <t>Not recorded at task level</t>
        </is>
      </c>
      <c r="K2" s="34" t="inlineStr">
        <is>
          <t>Not recorded</t>
        </is>
      </c>
      <c r="L2" s="34" t="inlineStr">
        <is>
          <t>Planned workstream: Foundation</t>
        </is>
      </c>
      <c r="M2" s="34" t="inlineStr">
        <is>
          <t>No task-specific issue recorded.</t>
        </is>
      </c>
      <c r="N2" s="34" t="inlineStr">
        <is>
          <t>docs/PROJECT_SPEC.md; docs/ADMITFLOW_BLACK_BOOK.md</t>
        </is>
      </c>
      <c r="O2" s="34" t="inlineStr">
        <is>
          <t>Task ID, owner and planned hours transcribed from supplied distribution. Illustrative schedule date only; no actual work date was supplied.</t>
        </is>
      </c>
      <c r="P2" s="37" t="n"/>
    </row>
    <row r="3" ht="58" customHeight="1">
      <c r="A3" s="34" t="inlineStr">
        <is>
          <t>AF-002</t>
        </is>
      </c>
      <c r="B3" s="34" t="n">
        <v>1</v>
      </c>
      <c r="C3" s="34" t="inlineStr">
        <is>
          <t>Foundation</t>
        </is>
      </c>
      <c r="D3" s="34" t="inlineStr">
        <is>
          <t>Review BDS-03 requirements and acceptance gates</t>
        </is>
      </c>
      <c r="E3" s="34" t="inlineStr">
        <is>
          <t>Faculty requirements</t>
        </is>
      </c>
      <c r="F3" s="35" t="inlineStr">
        <is>
          <t>Samiksha</t>
        </is>
      </c>
      <c r="G3" s="36" t="n">
        <v>3</v>
      </c>
      <c r="H3" s="41" t="n">
        <v>46290</v>
      </c>
      <c r="I3" s="34" t="inlineStr">
        <is>
          <t>Not specified in supplied task-distribution image</t>
        </is>
      </c>
      <c r="J3" s="34" t="inlineStr">
        <is>
          <t>Not recorded at task level</t>
        </is>
      </c>
      <c r="K3" s="34" t="inlineStr">
        <is>
          <t>Not recorded</t>
        </is>
      </c>
      <c r="L3" s="34" t="inlineStr">
        <is>
          <t>Planned workstream: Foundation</t>
        </is>
      </c>
      <c r="M3" s="34" t="inlineStr">
        <is>
          <t>No task-specific issue recorded.</t>
        </is>
      </c>
      <c r="N3" s="34" t="inlineStr">
        <is>
          <t>docs/ACCEPTANCE_CRITERIA.md; docs/PROJECT_SPEC.md</t>
        </is>
      </c>
      <c r="O3" s="34" t="inlineStr">
        <is>
          <t>Task ID, owner and planned hours transcribed from supplied distribution. Illustrative schedule date only; no actual work date was supplied.</t>
        </is>
      </c>
      <c r="P3" s="37" t="n"/>
    </row>
    <row r="4" ht="58" customHeight="1">
      <c r="A4" s="34" t="inlineStr">
        <is>
          <t>AF-003</t>
        </is>
      </c>
      <c r="B4" s="34" t="n">
        <v>2</v>
      </c>
      <c r="C4" s="34" t="inlineStr">
        <is>
          <t>Planning</t>
        </is>
      </c>
      <c r="D4" s="34" t="inlineStr">
        <is>
          <t>Set up GitHub repo, issue board and workflow</t>
        </is>
      </c>
      <c r="E4" s="34" t="inlineStr">
        <is>
          <t>Engineering evidence</t>
        </is>
      </c>
      <c r="F4" s="35" t="inlineStr">
        <is>
          <t>Zahir</t>
        </is>
      </c>
      <c r="G4" s="36" t="n">
        <v>3</v>
      </c>
      <c r="H4" s="41" t="n">
        <v>46290</v>
      </c>
      <c r="I4" s="34" t="inlineStr">
        <is>
          <t>Not specified in supplied task-distribution image</t>
        </is>
      </c>
      <c r="J4" s="34" t="inlineStr">
        <is>
          <t>Not recorded at task level</t>
        </is>
      </c>
      <c r="K4" s="34" t="inlineStr">
        <is>
          <t>Not recorded</t>
        </is>
      </c>
      <c r="L4" s="34" t="inlineStr">
        <is>
          <t>Planned workstream: Planning</t>
        </is>
      </c>
      <c r="M4" s="34" t="inlineStr">
        <is>
          <t>No task-specific issue recorded.</t>
        </is>
      </c>
      <c r="N4" s="34" t="inlineStr">
        <is>
          <t>.git; Git history (repository metadata)</t>
        </is>
      </c>
      <c r="O4" s="34" t="inlineStr">
        <is>
          <t>Task ID, owner and planned hours transcribed from supplied distribution. Illustrative schedule date only; no actual work date was supplied.</t>
        </is>
      </c>
      <c r="P4" s="37" t="n"/>
    </row>
    <row r="5" ht="58" customHeight="1">
      <c r="A5" s="34" t="inlineStr">
        <is>
          <t>AF-004</t>
        </is>
      </c>
      <c r="B5" s="34" t="n">
        <v>2</v>
      </c>
      <c r="C5" s="34" t="inlineStr">
        <is>
          <t>Planning</t>
        </is>
      </c>
      <c r="D5" s="34" t="inlineStr">
        <is>
          <t>Create backlog and milestone plan</t>
        </is>
      </c>
      <c r="E5" s="34" t="inlineStr">
        <is>
          <t>Problem brief</t>
        </is>
      </c>
      <c r="F5" s="35" t="inlineStr">
        <is>
          <t>Samiksha</t>
        </is>
      </c>
      <c r="G5" s="36" t="n">
        <v>4</v>
      </c>
      <c r="H5" s="41" t="n">
        <v>46290</v>
      </c>
      <c r="I5" s="34" t="inlineStr">
        <is>
          <t>Not specified in supplied task-distribution image</t>
        </is>
      </c>
      <c r="J5" s="34" t="inlineStr">
        <is>
          <t>Not recorded at task level</t>
        </is>
      </c>
      <c r="K5" s="34" t="inlineStr">
        <is>
          <t>Not recorded</t>
        </is>
      </c>
      <c r="L5" s="34" t="inlineStr">
        <is>
          <t>Planned workstream: Planning</t>
        </is>
      </c>
      <c r="M5" s="34" t="inlineStr">
        <is>
          <t>No task-specific issue recorded.</t>
        </is>
      </c>
      <c r="N5" s="34" t="inlineStr">
        <is>
          <t>docs/DEVELOPMENT_PLAN.md</t>
        </is>
      </c>
      <c r="O5" s="34" t="inlineStr">
        <is>
          <t>Task ID, owner and planned hours transcribed from supplied distribution. Illustrative schedule date only; no actual work date was supplied.</t>
        </is>
      </c>
      <c r="P5" s="37" t="n"/>
    </row>
    <row r="6" ht="58" customHeight="1">
      <c r="A6" s="34" t="inlineStr">
        <is>
          <t>AF-005</t>
        </is>
      </c>
      <c r="B6" s="34" t="n">
        <v>3</v>
      </c>
      <c r="C6" s="34" t="inlineStr">
        <is>
          <t>Requirements</t>
        </is>
      </c>
      <c r="D6" s="34" t="inlineStr">
        <is>
          <t>Stakeholder map and personas</t>
        </is>
      </c>
      <c r="E6" s="34" t="inlineStr">
        <is>
          <t>Chapter 1 / Problem validation</t>
        </is>
      </c>
      <c r="F6" s="35" t="inlineStr">
        <is>
          <t>Samiksha</t>
        </is>
      </c>
      <c r="G6" s="36" t="n">
        <v>4</v>
      </c>
      <c r="H6" s="41" t="n">
        <v>46290</v>
      </c>
      <c r="I6" s="34" t="inlineStr">
        <is>
          <t>Not specified in supplied task-distribution image</t>
        </is>
      </c>
      <c r="J6" s="34" t="inlineStr">
        <is>
          <t>Not recorded at task level</t>
        </is>
      </c>
      <c r="K6" s="34" t="inlineStr">
        <is>
          <t>Not recorded</t>
        </is>
      </c>
      <c r="L6" s="34" t="inlineStr">
        <is>
          <t>Planned workstream: Requirements</t>
        </is>
      </c>
      <c r="M6" s="34" t="inlineStr">
        <is>
          <t>No task-specific issue recorded.</t>
        </is>
      </c>
      <c r="N6" s="34" t="inlineStr">
        <is>
          <t>docs/PROJECT_SPEC.md; docs/ADMITFLOW_BLACK_BOOK.md</t>
        </is>
      </c>
      <c r="O6" s="34" t="inlineStr">
        <is>
          <t>Task ID, owner and planned hours transcribed from supplied distribution. Illustrative schedule date only; no actual work date was supplied.</t>
        </is>
      </c>
      <c r="P6" s="37" t="n"/>
    </row>
    <row r="7" ht="58" customHeight="1">
      <c r="A7" s="34" t="inlineStr">
        <is>
          <t>AF-006</t>
        </is>
      </c>
      <c r="B7" s="34" t="n">
        <v>3</v>
      </c>
      <c r="C7" s="34" t="inlineStr">
        <is>
          <t>Requirements</t>
        </is>
      </c>
      <c r="D7" s="34" t="inlineStr">
        <is>
          <t>User stories and acceptance criteria</t>
        </is>
      </c>
      <c r="E7" s="34" t="inlineStr">
        <is>
          <t>Chapter 2 / Requirements</t>
        </is>
      </c>
      <c r="F7" s="35" t="inlineStr">
        <is>
          <t>Samiksha</t>
        </is>
      </c>
      <c r="G7" s="36" t="n">
        <v>5</v>
      </c>
      <c r="H7" s="41" t="n">
        <v>46290</v>
      </c>
      <c r="I7" s="34" t="inlineStr">
        <is>
          <t>Not specified in supplied task-distribution image</t>
        </is>
      </c>
      <c r="J7" s="34" t="inlineStr">
        <is>
          <t>Not recorded at task level</t>
        </is>
      </c>
      <c r="K7" s="34" t="inlineStr">
        <is>
          <t>Not recorded</t>
        </is>
      </c>
      <c r="L7" s="34" t="inlineStr">
        <is>
          <t>Planned workstream: Requirements</t>
        </is>
      </c>
      <c r="M7" s="34" t="inlineStr">
        <is>
          <t>No task-specific issue recorded.</t>
        </is>
      </c>
      <c r="N7" s="34" t="inlineStr">
        <is>
          <t>docs/ACCEPTANCE_CRITERIA.md; docs/PROJECT_SPEC.md</t>
        </is>
      </c>
      <c r="O7" s="34" t="inlineStr">
        <is>
          <t>Task ID, owner and planned hours transcribed from supplied distribution. Illustrative schedule date only; no actual work date was supplied.</t>
        </is>
      </c>
      <c r="P7" s="37" t="n"/>
    </row>
    <row r="8" ht="58" customHeight="1">
      <c r="A8" s="34" t="inlineStr">
        <is>
          <t>AF-007</t>
        </is>
      </c>
      <c r="B8" s="34" t="n">
        <v>3</v>
      </c>
      <c r="C8" s="34" t="inlineStr">
        <is>
          <t>Requirements</t>
        </is>
      </c>
      <c r="D8" s="34" t="inlineStr">
        <is>
          <t>Misuse cases, risks and scope exclusions</t>
        </is>
      </c>
      <c r="E8" s="34" t="inlineStr">
        <is>
          <t>Threat/misuse analysis</t>
        </is>
      </c>
      <c r="F8" s="35" t="inlineStr">
        <is>
          <t>Samiksha</t>
        </is>
      </c>
      <c r="G8" s="36" t="n">
        <v>4</v>
      </c>
      <c r="H8" s="41" t="n">
        <v>46290</v>
      </c>
      <c r="I8" s="34" t="inlineStr">
        <is>
          <t>Not specified in supplied task-distribution image</t>
        </is>
      </c>
      <c r="J8" s="34" t="inlineStr">
        <is>
          <t>Not recorded at task level</t>
        </is>
      </c>
      <c r="K8" s="34" t="inlineStr">
        <is>
          <t>Not recorded</t>
        </is>
      </c>
      <c r="L8" s="34" t="inlineStr">
        <is>
          <t>Planned workstream: Requirements</t>
        </is>
      </c>
      <c r="M8" s="34" t="inlineStr">
        <is>
          <t>No task-specific issue recorded.</t>
        </is>
      </c>
      <c r="N8" s="34" t="inlineStr">
        <is>
          <t>docs/PROJECT_SPEC.md; docs/ADMITFLOW_BLACK_BOOK.md</t>
        </is>
      </c>
      <c r="O8" s="34" t="inlineStr">
        <is>
          <t>Task ID, owner and planned hours transcribed from supplied distribution. Illustrative schedule date only; no actual work date was supplied.</t>
        </is>
      </c>
      <c r="P8" s="37" t="n"/>
    </row>
    <row r="9" ht="58" customHeight="1">
      <c r="A9" s="34" t="inlineStr">
        <is>
          <t>AF-008</t>
        </is>
      </c>
      <c r="B9" s="34" t="n">
        <v>4</v>
      </c>
      <c r="C9" s="34" t="inlineStr">
        <is>
          <t>Data</t>
        </is>
      </c>
      <c r="D9" s="34" t="inlineStr">
        <is>
          <t>Admission funnel/event data model</t>
        </is>
      </c>
      <c r="E9" s="34" t="inlineStr">
        <is>
          <t>Funnel model / ERD</t>
        </is>
      </c>
      <c r="F9" s="35" t="inlineStr">
        <is>
          <t>Zahir</t>
        </is>
      </c>
      <c r="G9" s="36" t="n">
        <v>6</v>
      </c>
      <c r="H9" s="41" t="n">
        <v>46290</v>
      </c>
      <c r="I9" s="34" t="inlineStr">
        <is>
          <t>Not specified in supplied task-distribution image</t>
        </is>
      </c>
      <c r="J9" s="34" t="inlineStr">
        <is>
          <t>Not recorded at task level</t>
        </is>
      </c>
      <c r="K9" s="34" t="inlineStr">
        <is>
          <t>Not recorded</t>
        </is>
      </c>
      <c r="L9" s="34" t="inlineStr">
        <is>
          <t>Planned workstream: Data</t>
        </is>
      </c>
      <c r="M9" s="34" t="inlineStr">
        <is>
          <t>No task-specific issue recorded.</t>
        </is>
      </c>
      <c r="N9" s="34" t="inlineStr">
        <is>
          <t>docs/ARCHITECTURE.md; docs/DATA_DICTIONARY.md; backend/admitflow/analytics.py</t>
        </is>
      </c>
      <c r="O9" s="34" t="inlineStr">
        <is>
          <t>Task ID, owner and planned hours transcribed from supplied distribution. Illustrative schedule date only; no actual work date was supplied.</t>
        </is>
      </c>
      <c r="P9" s="37" t="n"/>
    </row>
    <row r="10" ht="58" customHeight="1">
      <c r="A10" s="34" t="inlineStr">
        <is>
          <t>AF-009</t>
        </is>
      </c>
      <c r="B10" s="34" t="n">
        <v>4</v>
      </c>
      <c r="C10" s="34" t="inlineStr">
        <is>
          <t>Data</t>
        </is>
      </c>
      <c r="D10" s="34" t="inlineStr">
        <is>
          <t>Data dictionary and synthetic-data protocol if needed</t>
        </is>
      </c>
      <c r="E10" s="34" t="inlineStr">
        <is>
          <t>Data/model package</t>
        </is>
      </c>
      <c r="F10" s="35" t="inlineStr">
        <is>
          <t>Zahir</t>
        </is>
      </c>
      <c r="G10" s="36" t="n">
        <v>5</v>
      </c>
      <c r="H10" s="41" t="n">
        <v>46290</v>
      </c>
      <c r="I10" s="34" t="inlineStr">
        <is>
          <t>Not specified in supplied task-distribution image</t>
        </is>
      </c>
      <c r="J10" s="34" t="inlineStr">
        <is>
          <t>Not recorded at task level</t>
        </is>
      </c>
      <c r="K10" s="34" t="inlineStr">
        <is>
          <t>Not recorded</t>
        </is>
      </c>
      <c r="L10" s="34" t="inlineStr">
        <is>
          <t>Planned workstream: Data</t>
        </is>
      </c>
      <c r="M10" s="34" t="inlineStr">
        <is>
          <t>No task-specific issue recorded.</t>
        </is>
      </c>
      <c r="N10" s="34" t="inlineStr">
        <is>
          <t>backend/admitflow/data_generator.py; scripts/generate_dataset.py; docs/DATA_DICTIONARY.md</t>
        </is>
      </c>
      <c r="O10" s="34" t="inlineStr">
        <is>
          <t>Task ID, owner and planned hours transcribed from supplied distribution. Illustrative schedule date only; no actual work date was supplied.</t>
        </is>
      </c>
      <c r="P10" s="37" t="n"/>
    </row>
    <row r="11" ht="58" customHeight="1">
      <c r="A11" s="34" t="inlineStr">
        <is>
          <t>AF-010</t>
        </is>
      </c>
      <c r="B11" s="34" t="n">
        <v>4</v>
      </c>
      <c r="C11" s="34" t="inlineStr">
        <is>
          <t>Data</t>
        </is>
      </c>
      <c r="D11" s="34" t="inlineStr">
        <is>
          <t>Data intake/import</t>
        </is>
      </c>
      <c r="E11" s="34" t="inlineStr">
        <is>
          <t>Integrated prototype</t>
        </is>
      </c>
      <c r="F11" s="35" t="inlineStr">
        <is>
          <t>Zahir</t>
        </is>
      </c>
      <c r="G11" s="36" t="n">
        <v>6</v>
      </c>
      <c r="H11" s="41" t="n">
        <v>46291</v>
      </c>
      <c r="I11" s="34" t="inlineStr">
        <is>
          <t>Not specified in supplied task-distribution image</t>
        </is>
      </c>
      <c r="J11" s="34" t="inlineStr">
        <is>
          <t>Not recorded at task level</t>
        </is>
      </c>
      <c r="K11" s="34" t="inlineStr">
        <is>
          <t>Not recorded</t>
        </is>
      </c>
      <c r="L11" s="34" t="inlineStr">
        <is>
          <t>Planned workstream: Data</t>
        </is>
      </c>
      <c r="M11" s="34" t="inlineStr">
        <is>
          <t>Data intake/import is not evidenced; current application reads the supplied CSV.</t>
        </is>
      </c>
      <c r="N11" s="34" t="inlineStr">
        <is>
          <t>Not located; planned deliverable. The application reads the supplied CSV; no data intake/import workflow is documented.</t>
        </is>
      </c>
      <c r="O11" s="34" t="inlineStr">
        <is>
          <t>Task ID, owner and planned hours transcribed from supplied distribution. Illustrative schedule date only; no actual work date was supplied.</t>
        </is>
      </c>
      <c r="P11" s="37" t="n"/>
    </row>
    <row r="12" ht="58" customHeight="1">
      <c r="A12" s="34" t="inlineStr">
        <is>
          <t>AF-011</t>
        </is>
      </c>
      <c r="B12" s="34" t="n">
        <v>4</v>
      </c>
      <c r="C12" s="34" t="inlineStr">
        <is>
          <t>Data</t>
        </is>
      </c>
      <c r="D12" s="34" t="inlineStr">
        <is>
          <t>Data validation and quality checks</t>
        </is>
      </c>
      <c r="E12" s="34" t="inlineStr">
        <is>
          <t>Data-quality monitoring</t>
        </is>
      </c>
      <c r="F12" s="35" t="inlineStr">
        <is>
          <t>Zahir</t>
        </is>
      </c>
      <c r="G12" s="36" t="n">
        <v>6</v>
      </c>
      <c r="H12" s="41" t="n">
        <v>46291</v>
      </c>
      <c r="I12" s="34" t="inlineStr">
        <is>
          <t>Not specified in supplied task-distribution image</t>
        </is>
      </c>
      <c r="J12" s="34" t="inlineStr">
        <is>
          <t>Not recorded at task level</t>
        </is>
      </c>
      <c r="K12" s="34" t="inlineStr">
        <is>
          <t>Not recorded</t>
        </is>
      </c>
      <c r="L12" s="34" t="inlineStr">
        <is>
          <t>Planned workstream: Data</t>
        </is>
      </c>
      <c r="M12" s="34" t="inlineStr">
        <is>
          <t>No task-specific issue recorded.</t>
        </is>
      </c>
      <c r="N12" s="34" t="inlineStr">
        <is>
          <t>evidence/dataset/validation_report.json; backend/admitflow/data_generator.py</t>
        </is>
      </c>
      <c r="O12" s="34" t="inlineStr">
        <is>
          <t>Task ID, owner and planned hours transcribed from supplied distribution. Illustrative schedule date only; no actual work date was supplied.</t>
        </is>
      </c>
      <c r="P12" s="37" t="n"/>
    </row>
    <row r="13" ht="58" customHeight="1">
      <c r="A13" s="34" t="inlineStr">
        <is>
          <t>AF-012</t>
        </is>
      </c>
      <c r="B13" s="34" t="n">
        <v>5</v>
      </c>
      <c r="C13" s="34" t="inlineStr">
        <is>
          <t>Analytics</t>
        </is>
      </c>
      <c r="D13" s="34" t="inlineStr">
        <is>
          <t>Funnel conversion calculations</t>
        </is>
      </c>
      <c r="E13" s="34" t="inlineStr">
        <is>
          <t>Funnel analysis</t>
        </is>
      </c>
      <c r="F13" s="35" t="inlineStr">
        <is>
          <t>Zahir</t>
        </is>
      </c>
      <c r="G13" s="36" t="n">
        <v>7</v>
      </c>
      <c r="H13" s="41" t="n">
        <v>46291</v>
      </c>
      <c r="I13" s="34" t="inlineStr">
        <is>
          <t>Not specified in supplied task-distribution image</t>
        </is>
      </c>
      <c r="J13" s="34" t="inlineStr">
        <is>
          <t>Not recorded at task level</t>
        </is>
      </c>
      <c r="K13" s="34" t="inlineStr">
        <is>
          <t>Not recorded</t>
        </is>
      </c>
      <c r="L13" s="34" t="inlineStr">
        <is>
          <t>Planned workstream: Analytics</t>
        </is>
      </c>
      <c r="M13" s="34" t="inlineStr">
        <is>
          <t>No task-specific issue recorded.</t>
        </is>
      </c>
      <c r="N13" s="34" t="inlineStr">
        <is>
          <t>evidence/metrics/analytics_report.json; backend/admitflow/analytics.py</t>
        </is>
      </c>
      <c r="O13" s="34" t="inlineStr">
        <is>
          <t>Task ID, owner and planned hours transcribed from supplied distribution. Illustrative schedule date only; no actual work date was supplied.</t>
        </is>
      </c>
      <c r="P13" s="37" t="n"/>
    </row>
    <row r="14" ht="58" customHeight="1">
      <c r="A14" s="34" t="inlineStr">
        <is>
          <t>AF-013</t>
        </is>
      </c>
      <c r="B14" s="34" t="n">
        <v>5</v>
      </c>
      <c r="C14" s="34" t="inlineStr">
        <is>
          <t>Analytics</t>
        </is>
      </c>
      <c r="D14" s="34" t="inlineStr">
        <is>
          <t>Cohort analytics and filters</t>
        </is>
      </c>
      <c r="E14" s="34" t="inlineStr">
        <is>
          <t>Cohort analysis</t>
        </is>
      </c>
      <c r="F14" s="35" t="inlineStr">
        <is>
          <t>Zahir</t>
        </is>
      </c>
      <c r="G14" s="36" t="n">
        <v>7</v>
      </c>
      <c r="H14" s="41" t="n">
        <v>46291</v>
      </c>
      <c r="I14" s="34" t="inlineStr">
        <is>
          <t>Not specified in supplied task-distribution image</t>
        </is>
      </c>
      <c r="J14" s="34" t="inlineStr">
        <is>
          <t>Not recorded at task level</t>
        </is>
      </c>
      <c r="K14" s="34" t="inlineStr">
        <is>
          <t>Not recorded</t>
        </is>
      </c>
      <c r="L14" s="34" t="inlineStr">
        <is>
          <t>Planned workstream: Analytics</t>
        </is>
      </c>
      <c r="M14" s="34" t="inlineStr">
        <is>
          <t>No task-specific issue recorded.</t>
        </is>
      </c>
      <c r="N14" s="34" t="inlineStr">
        <is>
          <t>evidence/metrics/analytics_report.json; backend/admitflow/analytics.py</t>
        </is>
      </c>
      <c r="O14" s="34" t="inlineStr">
        <is>
          <t>Task ID, owner and planned hours transcribed from supplied distribution. Illustrative schedule date only; no actual work date was supplied.</t>
        </is>
      </c>
      <c r="P14" s="37" t="n"/>
    </row>
    <row r="15" ht="58" customHeight="1">
      <c r="A15" s="34" t="inlineStr">
        <is>
          <t>AF-014</t>
        </is>
      </c>
      <c r="B15" s="34" t="n">
        <v>5</v>
      </c>
      <c r="C15" s="34" t="inlineStr">
        <is>
          <t>Analytics</t>
        </is>
      </c>
      <c r="D15" s="34" t="inlineStr">
        <is>
          <t>Programme comparison</t>
        </is>
      </c>
      <c r="E15" s="34" t="inlineStr">
        <is>
          <t>Programme comparison</t>
        </is>
      </c>
      <c r="F15" s="35" t="inlineStr">
        <is>
          <t>Zahir</t>
        </is>
      </c>
      <c r="G15" s="36" t="n">
        <v>5</v>
      </c>
      <c r="H15" s="41" t="n">
        <v>46291</v>
      </c>
      <c r="I15" s="34" t="inlineStr">
        <is>
          <t>Not specified in supplied task-distribution image</t>
        </is>
      </c>
      <c r="J15" s="34" t="inlineStr">
        <is>
          <t>Not recorded at task level</t>
        </is>
      </c>
      <c r="K15" s="34" t="inlineStr">
        <is>
          <t>Not recorded</t>
        </is>
      </c>
      <c r="L15" s="34" t="inlineStr">
        <is>
          <t>Planned workstream: Analytics</t>
        </is>
      </c>
      <c r="M15" s="34" t="inlineStr">
        <is>
          <t>No task-specific issue recorded.</t>
        </is>
      </c>
      <c r="N15" s="34" t="inlineStr">
        <is>
          <t>evidence/metrics/analytics_report.json; backend/admitflow/analytics.py</t>
        </is>
      </c>
      <c r="O15" s="34" t="inlineStr">
        <is>
          <t>Task ID, owner and planned hours transcribed from supplied distribution. Illustrative schedule date only; no actual work date was supplied.</t>
        </is>
      </c>
      <c r="P15" s="37" t="n"/>
    </row>
    <row r="16" ht="58" customHeight="1">
      <c r="A16" s="34" t="inlineStr">
        <is>
          <t>AF-015</t>
        </is>
      </c>
      <c r="B16" s="34" t="n">
        <v>6</v>
      </c>
      <c r="C16" s="34" t="inlineStr">
        <is>
          <t>ML</t>
        </is>
      </c>
      <c r="D16" s="34" t="inlineStr">
        <is>
          <t>Target, prediction horizon and leakage rules</t>
        </is>
      </c>
      <c r="E16" s="34" t="inlineStr">
        <is>
          <t>ML methodology</t>
        </is>
      </c>
      <c r="F16" s="35" t="inlineStr">
        <is>
          <t>Zahir</t>
        </is>
      </c>
      <c r="G16" s="36" t="n">
        <v>4</v>
      </c>
      <c r="H16" s="41" t="n">
        <v>46291</v>
      </c>
      <c r="I16" s="34" t="inlineStr">
        <is>
          <t>Not specified in supplied task-distribution image</t>
        </is>
      </c>
      <c r="J16" s="34" t="inlineStr">
        <is>
          <t>Not recorded at task level</t>
        </is>
      </c>
      <c r="K16" s="34" t="inlineStr">
        <is>
          <t>Not recorded</t>
        </is>
      </c>
      <c r="L16" s="34" t="inlineStr">
        <is>
          <t>Planned workstream: ML</t>
        </is>
      </c>
      <c r="M16" s="34" t="inlineStr">
        <is>
          <t>No task-specific issue recorded.</t>
        </is>
      </c>
      <c r="N16" s="34" t="inlineStr">
        <is>
          <t>docs/MODEL_METHODOLOGY.md; backend/admitflow/forecast.py</t>
        </is>
      </c>
      <c r="O16" s="34" t="inlineStr">
        <is>
          <t>Task ID, owner and planned hours transcribed from supplied distribution. Illustrative schedule date only; no actual work date was supplied.</t>
        </is>
      </c>
      <c r="P16" s="37" t="n"/>
    </row>
    <row r="17" ht="58" customHeight="1">
      <c r="A17" s="34" t="inlineStr">
        <is>
          <t>AF-016</t>
        </is>
      </c>
      <c r="B17" s="34" t="n">
        <v>6</v>
      </c>
      <c r="C17" s="34" t="inlineStr">
        <is>
          <t>ML</t>
        </is>
      </c>
      <c r="D17" s="34" t="inlineStr">
        <is>
          <t>Reproducible baseline model</t>
        </is>
      </c>
      <c r="E17" s="34" t="inlineStr">
        <is>
          <t>Baseline comparison</t>
        </is>
      </c>
      <c r="F17" s="35" t="inlineStr">
        <is>
          <t>Zahir</t>
        </is>
      </c>
      <c r="G17" s="36" t="n">
        <v>7</v>
      </c>
      <c r="H17" s="41" t="n">
        <v>46291</v>
      </c>
      <c r="I17" s="34" t="inlineStr">
        <is>
          <t>Not specified in supplied task-distribution image</t>
        </is>
      </c>
      <c r="J17" s="34" t="inlineStr">
        <is>
          <t>Not recorded at task level</t>
        </is>
      </c>
      <c r="K17" s="34" t="inlineStr">
        <is>
          <t>Not recorded</t>
        </is>
      </c>
      <c r="L17" s="34" t="inlineStr">
        <is>
          <t>Planned workstream: ML</t>
        </is>
      </c>
      <c r="M17" s="34" t="inlineStr">
        <is>
          <t>No task-specific issue recorded.</t>
        </is>
      </c>
      <c r="N17" s="34" t="inlineStr">
        <is>
          <t>evidence/models/model_report.json; evidence/models/admitflow_model.joblib; backend/admitflow/ml.py</t>
        </is>
      </c>
      <c r="O17" s="34" t="inlineStr">
        <is>
          <t>Task ID, owner and planned hours transcribed from supplied distribution. Illustrative schedule date only; no actual work date was supplied.</t>
        </is>
      </c>
      <c r="P17" s="37" t="n"/>
    </row>
    <row r="18" ht="58" customHeight="1">
      <c r="A18" s="34" t="inlineStr">
        <is>
          <t>AF-017</t>
        </is>
      </c>
      <c r="B18" s="34" t="n">
        <v>6</v>
      </c>
      <c r="C18" s="34" t="inlineStr">
        <is>
          <t>ML</t>
        </is>
      </c>
      <c r="D18" s="34" t="inlineStr">
        <is>
          <t>Advanced model</t>
        </is>
      </c>
      <c r="E18" s="34" t="inlineStr">
        <is>
          <t>Innovation layer</t>
        </is>
      </c>
      <c r="F18" s="35" t="inlineStr">
        <is>
          <t>Zahir</t>
        </is>
      </c>
      <c r="G18" s="36" t="n">
        <v>9</v>
      </c>
      <c r="H18" s="41" t="n">
        <v>46291</v>
      </c>
      <c r="I18" s="34" t="inlineStr">
        <is>
          <t>Not specified in supplied task-distribution image</t>
        </is>
      </c>
      <c r="J18" s="34" t="inlineStr">
        <is>
          <t>Not recorded at task level</t>
        </is>
      </c>
      <c r="K18" s="34" t="inlineStr">
        <is>
          <t>Not recorded</t>
        </is>
      </c>
      <c r="L18" s="34" t="inlineStr">
        <is>
          <t>Planned workstream: ML</t>
        </is>
      </c>
      <c r="M18" s="34" t="inlineStr">
        <is>
          <t>No task-specific issue recorded.</t>
        </is>
      </c>
      <c r="N18" s="34" t="inlineStr">
        <is>
          <t>evidence/models/model_report.json; evidence/models/admitflow_model.joblib; backend/admitflow/ml.py</t>
        </is>
      </c>
      <c r="O18" s="34" t="inlineStr">
        <is>
          <t>Task ID, owner and planned hours transcribed from supplied distribution. Illustrative schedule date only; no actual work date was supplied.</t>
        </is>
      </c>
      <c r="P18" s="37" t="n"/>
    </row>
    <row r="19" ht="58" customHeight="1">
      <c r="A19" s="34" t="inlineStr">
        <is>
          <t>AF-018</t>
        </is>
      </c>
      <c r="B19" s="34" t="n">
        <v>6</v>
      </c>
      <c r="C19" s="34" t="inlineStr">
        <is>
          <t>ML</t>
        </is>
      </c>
      <c r="D19" s="34" t="inlineStr">
        <is>
          <t>Log loss and calibration evaluation</t>
        </is>
      </c>
      <c r="E19" s="34" t="inlineStr">
        <is>
          <t>Evaluation dossier</t>
        </is>
      </c>
      <c r="F19" s="35" t="inlineStr">
        <is>
          <t>Zahir</t>
        </is>
      </c>
      <c r="G19" s="36" t="n">
        <v>6</v>
      </c>
      <c r="H19" s="41" t="n">
        <v>46292</v>
      </c>
      <c r="I19" s="34" t="inlineStr">
        <is>
          <t>Not specified in supplied task-distribution image</t>
        </is>
      </c>
      <c r="J19" s="34" t="inlineStr">
        <is>
          <t>Not recorded at task level</t>
        </is>
      </c>
      <c r="K19" s="34" t="inlineStr">
        <is>
          <t>Not recorded</t>
        </is>
      </c>
      <c r="L19" s="34" t="inlineStr">
        <is>
          <t>Planned workstream: ML</t>
        </is>
      </c>
      <c r="M19" s="34" t="inlineStr">
        <is>
          <t>Model metrics are weak; random forest predicts no positive cases at threshold 0.5.</t>
        </is>
      </c>
      <c r="N19" s="34" t="inlineStr">
        <is>
          <t>evidence/models/model_report.json; docs/MODEL_METHODOLOGY.md</t>
        </is>
      </c>
      <c r="O19" s="34" t="inlineStr">
        <is>
          <t>Task ID, owner and planned hours transcribed from supplied distribution. Illustrative schedule date only; no actual work date was supplied.</t>
        </is>
      </c>
      <c r="P19" s="37" t="n"/>
    </row>
    <row r="20" ht="58" customHeight="1">
      <c r="A20" s="34" t="inlineStr">
        <is>
          <t>AF-019</t>
        </is>
      </c>
      <c r="B20" s="34" t="n">
        <v>6</v>
      </c>
      <c r="C20" s="34" t="inlineStr">
        <is>
          <t>ML</t>
        </is>
      </c>
      <c r="D20" s="34" t="inlineStr">
        <is>
          <t>Forecast deviation and segment stability</t>
        </is>
      </c>
      <c r="E20" s="34" t="inlineStr">
        <is>
          <t>Evaluation dossier</t>
        </is>
      </c>
      <c r="F20" s="35" t="inlineStr">
        <is>
          <t>Zahir</t>
        </is>
      </c>
      <c r="G20" s="36" t="n">
        <v>5</v>
      </c>
      <c r="H20" s="41" t="n">
        <v>46292</v>
      </c>
      <c r="I20" s="34" t="inlineStr">
        <is>
          <t>Not specified in supplied task-distribution image</t>
        </is>
      </c>
      <c r="J20" s="34" t="inlineStr">
        <is>
          <t>Not recorded at task level</t>
        </is>
      </c>
      <c r="K20" s="34" t="inlineStr">
        <is>
          <t>Not recorded</t>
        </is>
      </c>
      <c r="L20" s="34" t="inlineStr">
        <is>
          <t>Planned workstream: ML</t>
        </is>
      </c>
      <c r="M20" s="34" t="inlineStr">
        <is>
          <t>Forecast uses six annual observations and is illustrative, not operationally validated.</t>
        </is>
      </c>
      <c r="N20" s="34" t="inlineStr">
        <is>
          <t>evidence/metrics/forecast_report.json; docs/MODEL_METHODOLOGY.md</t>
        </is>
      </c>
      <c r="O20" s="34" t="inlineStr">
        <is>
          <t>Task ID, owner and planned hours transcribed from supplied distribution. Illustrative schedule date only; no actual work date was supplied.</t>
        </is>
      </c>
      <c r="P20" s="37" t="n"/>
    </row>
    <row r="21" ht="58" customHeight="1">
      <c r="A21" s="34" t="inlineStr">
        <is>
          <t>AF-020</t>
        </is>
      </c>
      <c r="B21" s="34" t="n">
        <v>6</v>
      </c>
      <c r="C21" s="34" t="inlineStr">
        <is>
          <t>ML</t>
        </is>
      </c>
      <c r="D21" s="34" t="inlineStr">
        <is>
          <t>Explainability and error analysis</t>
        </is>
      </c>
      <c r="E21" s="34" t="inlineStr">
        <is>
          <t>Model/system card</t>
        </is>
      </c>
      <c r="F21" s="35" t="inlineStr">
        <is>
          <t>Zahir</t>
        </is>
      </c>
      <c r="G21" s="36" t="n">
        <v>6</v>
      </c>
      <c r="H21" s="41" t="n">
        <v>46292</v>
      </c>
      <c r="I21" s="34" t="inlineStr">
        <is>
          <t>Not specified in supplied task-distribution image</t>
        </is>
      </c>
      <c r="J21" s="34" t="inlineStr">
        <is>
          <t>Not recorded at task level</t>
        </is>
      </c>
      <c r="K21" s="34" t="inlineStr">
        <is>
          <t>Not recorded</t>
        </is>
      </c>
      <c r="L21" s="34" t="inlineStr">
        <is>
          <t>Planned workstream: ML</t>
        </is>
      </c>
      <c r="M21" s="34" t="inlineStr">
        <is>
          <t>Classifier results are not decision-ready.</t>
        </is>
      </c>
      <c r="N21" s="34" t="inlineStr">
        <is>
          <t>evidence/models/model_report.json; docs/MODEL_METHODOLOGY.md</t>
        </is>
      </c>
      <c r="O21" s="34" t="inlineStr">
        <is>
          <t>Task ID, owner and planned hours transcribed from supplied distribution. Illustrative schedule date only; no actual work date was supplied.</t>
        </is>
      </c>
      <c r="P21" s="37" t="n"/>
    </row>
    <row r="22" ht="58" customHeight="1">
      <c r="A22" s="34" t="inlineStr">
        <is>
          <t>AF-021</t>
        </is>
      </c>
      <c r="B22" s="34" t="n">
        <v>7</v>
      </c>
      <c r="C22" s="34" t="inlineStr">
        <is>
          <t>Backend</t>
        </is>
      </c>
      <c r="D22" s="34" t="inlineStr">
        <is>
          <t>API/data contracts</t>
        </is>
      </c>
      <c r="E22" s="34" t="inlineStr">
        <is>
          <t>Solution design</t>
        </is>
      </c>
      <c r="F22" s="35" t="inlineStr">
        <is>
          <t>Zahir</t>
        </is>
      </c>
      <c r="G22" s="36" t="n">
        <v>5</v>
      </c>
      <c r="H22" s="41" t="n">
        <v>46292</v>
      </c>
      <c r="I22" s="34" t="inlineStr">
        <is>
          <t>Not specified in supplied task-distribution image</t>
        </is>
      </c>
      <c r="J22" s="34" t="inlineStr">
        <is>
          <t>Not recorded at task level</t>
        </is>
      </c>
      <c r="K22" s="34" t="inlineStr">
        <is>
          <t>Not recorded</t>
        </is>
      </c>
      <c r="L22" s="34" t="inlineStr">
        <is>
          <t>Planned workstream: Backend</t>
        </is>
      </c>
      <c r="M22" s="34" t="inlineStr">
        <is>
          <t>No task-specific issue recorded.</t>
        </is>
      </c>
      <c r="N22" s="34" t="inlineStr">
        <is>
          <t>docs/API.md; backend/admitflow/server.py</t>
        </is>
      </c>
      <c r="O22" s="34" t="inlineStr">
        <is>
          <t>Task ID, owner and planned hours transcribed from supplied distribution. Illustrative schedule date only; no actual work date was supplied.</t>
        </is>
      </c>
      <c r="P22" s="37" t="n"/>
    </row>
    <row r="23" ht="58" customHeight="1">
      <c r="A23" s="34" t="inlineStr">
        <is>
          <t>AF-022</t>
        </is>
      </c>
      <c r="B23" s="34" t="n">
        <v>7</v>
      </c>
      <c r="C23" s="34" t="inlineStr">
        <is>
          <t>Backend</t>
        </is>
      </c>
      <c r="D23" s="34" t="inlineStr">
        <is>
          <t>Authentication and authorization</t>
        </is>
      </c>
      <c r="E23" s="34" t="inlineStr">
        <is>
          <t>Security</t>
        </is>
      </c>
      <c r="F23" s="35" t="inlineStr">
        <is>
          <t>Zahir</t>
        </is>
      </c>
      <c r="G23" s="36" t="n">
        <v>6</v>
      </c>
      <c r="H23" s="41" t="n">
        <v>46292</v>
      </c>
      <c r="I23" s="34" t="inlineStr">
        <is>
          <t>Not specified in supplied task-distribution image</t>
        </is>
      </c>
      <c r="J23" s="34" t="inlineStr">
        <is>
          <t>Not recorded at task level</t>
        </is>
      </c>
      <c r="K23" s="34" t="inlineStr">
        <is>
          <t>Not recorded</t>
        </is>
      </c>
      <c r="L23" s="34" t="inlineStr">
        <is>
          <t>Planned workstream: Backend</t>
        </is>
      </c>
      <c r="M23" s="34" t="inlineStr">
        <is>
          <t>No task-specific issue recorded.</t>
        </is>
      </c>
      <c r="N23" s="34" t="inlineStr">
        <is>
          <t>docs/API.md; backend/admitflow/auth.py; evidence/security/auth_check.json</t>
        </is>
      </c>
      <c r="O23" s="34" t="inlineStr">
        <is>
          <t>Task ID, owner and planned hours transcribed from supplied distribution. Illustrative schedule date only; no actual work date was supplied.</t>
        </is>
      </c>
      <c r="P23" s="37" t="n"/>
    </row>
    <row r="24" ht="58" customHeight="1">
      <c r="A24" s="34" t="inlineStr">
        <is>
          <t>AF-023</t>
        </is>
      </c>
      <c r="B24" s="34" t="n">
        <v>7</v>
      </c>
      <c r="C24" s="34" t="inlineStr">
        <is>
          <t>Backend</t>
        </is>
      </c>
      <c r="D24" s="34" t="inlineStr">
        <is>
          <t>Forecast inference API</t>
        </is>
      </c>
      <c r="E24" s="34" t="inlineStr">
        <is>
          <t>Deployable inference</t>
        </is>
      </c>
      <c r="F24" s="35" t="inlineStr">
        <is>
          <t>Zahir</t>
        </is>
      </c>
      <c r="G24" s="36" t="n">
        <v>6</v>
      </c>
      <c r="H24" s="41" t="n">
        <v>46292</v>
      </c>
      <c r="I24" s="34" t="inlineStr">
        <is>
          <t>Not specified in supplied task-distribution image</t>
        </is>
      </c>
      <c r="J24" s="34" t="inlineStr">
        <is>
          <t>Not recorded at task level</t>
        </is>
      </c>
      <c r="K24" s="34" t="inlineStr">
        <is>
          <t>Not recorded</t>
        </is>
      </c>
      <c r="L24" s="34" t="inlineStr">
        <is>
          <t>Planned workstream: Backend</t>
        </is>
      </c>
      <c r="M24" s="34" t="inlineStr">
        <is>
          <t>No task-specific issue recorded.</t>
        </is>
      </c>
      <c r="N24" s="34" t="inlineStr">
        <is>
          <t>docs/API.md; backend/admitflow/forecast.py; evidence/api/api_smoke.json</t>
        </is>
      </c>
      <c r="O24" s="34" t="inlineStr">
        <is>
          <t>Task ID, owner and planned hours transcribed from supplied distribution. Illustrative schedule date only; no actual work date was supplied.</t>
        </is>
      </c>
      <c r="P24" s="37" t="n"/>
    </row>
    <row r="25" ht="58" customHeight="1">
      <c r="A25" s="34" t="inlineStr">
        <is>
          <t>AF-024</t>
        </is>
      </c>
      <c r="B25" s="34" t="n">
        <v>7</v>
      </c>
      <c r="C25" s="34" t="inlineStr">
        <is>
          <t>Backend</t>
        </is>
      </c>
      <c r="D25" s="34" t="inlineStr">
        <is>
          <t>Scenario simulation service</t>
        </is>
      </c>
      <c r="E25" s="34" t="inlineStr">
        <is>
          <t>Scenario simulation</t>
        </is>
      </c>
      <c r="F25" s="35" t="inlineStr">
        <is>
          <t>Zahir</t>
        </is>
      </c>
      <c r="G25" s="36" t="n">
        <v>7</v>
      </c>
      <c r="H25" s="41" t="n">
        <v>46292</v>
      </c>
      <c r="I25" s="34" t="inlineStr">
        <is>
          <t>Not specified in supplied task-distribution image</t>
        </is>
      </c>
      <c r="J25" s="34" t="inlineStr">
        <is>
          <t>Not recorded at task level</t>
        </is>
      </c>
      <c r="K25" s="34" t="inlineStr">
        <is>
          <t>Not recorded</t>
        </is>
      </c>
      <c r="L25" s="34" t="inlineStr">
        <is>
          <t>Planned workstream: Backend</t>
        </is>
      </c>
      <c r="M25" s="34" t="inlineStr">
        <is>
          <t>No task-specific issue recorded.</t>
        </is>
      </c>
      <c r="N25" s="34" t="inlineStr">
        <is>
          <t>backend/admitflow/scenario.py; evidence/metrics/scenario_report.json; evidence/api/api_smoke.json</t>
        </is>
      </c>
      <c r="O25" s="34" t="inlineStr">
        <is>
          <t>Task ID, owner and planned hours transcribed from supplied distribution. Illustrative schedule date only; no actual work date was supplied.</t>
        </is>
      </c>
      <c r="P25" s="37" t="n"/>
    </row>
    <row r="26" ht="58" customHeight="1">
      <c r="A26" s="34" t="inlineStr">
        <is>
          <t>AF-025</t>
        </is>
      </c>
      <c r="B26" s="34" t="n">
        <v>7</v>
      </c>
      <c r="C26" s="34" t="inlineStr">
        <is>
          <t>Backend</t>
        </is>
      </c>
      <c r="D26" s="34" t="inlineStr">
        <is>
          <t>Actions and audit APIs</t>
        </is>
      </c>
      <c r="E26" s="34" t="inlineStr">
        <is>
          <t>Action dashboard / audit</t>
        </is>
      </c>
      <c r="F26" s="35" t="inlineStr">
        <is>
          <t>Zahir</t>
        </is>
      </c>
      <c r="G26" s="36" t="n">
        <v>5</v>
      </c>
      <c r="H26" s="41" t="n">
        <v>46292</v>
      </c>
      <c r="I26" s="34" t="inlineStr">
        <is>
          <t>Not specified in supplied task-distribution image</t>
        </is>
      </c>
      <c r="J26" s="34" t="inlineStr">
        <is>
          <t>Not recorded at task level</t>
        </is>
      </c>
      <c r="K26" s="34" t="inlineStr">
        <is>
          <t>Not recorded</t>
        </is>
      </c>
      <c r="L26" s="34" t="inlineStr">
        <is>
          <t>Planned workstream: Backend</t>
        </is>
      </c>
      <c r="M26" s="34" t="inlineStr">
        <is>
          <t>No task-specific issue recorded.</t>
        </is>
      </c>
      <c r="N26" s="34" t="inlineStr">
        <is>
          <t>docs/API.md; backend/admitflow/server.py; evidence/api/api_smoke.json</t>
        </is>
      </c>
      <c r="O26" s="34" t="inlineStr">
        <is>
          <t>Task ID, owner and planned hours transcribed from supplied distribution. Illustrative schedule date only; no actual work date was supplied.</t>
        </is>
      </c>
      <c r="P26" s="37" t="n"/>
    </row>
    <row r="27" ht="58" customHeight="1">
      <c r="A27" s="34" t="inlineStr">
        <is>
          <t>AF-026</t>
        </is>
      </c>
      <c r="B27" s="34" t="n">
        <v>8</v>
      </c>
      <c r="C27" s="34" t="inlineStr">
        <is>
          <t>Frontend</t>
        </is>
      </c>
      <c r="D27" s="34" t="inlineStr">
        <is>
          <t>Premium application shell</t>
        </is>
      </c>
      <c r="E27" s="34" t="inlineStr">
        <is>
          <t>UI design</t>
        </is>
      </c>
      <c r="F27" s="35" t="inlineStr">
        <is>
          <t>Zahir</t>
        </is>
      </c>
      <c r="G27" s="36" t="n">
        <v>5</v>
      </c>
      <c r="H27" s="41" t="n">
        <v>46292</v>
      </c>
      <c r="I27" s="34" t="inlineStr">
        <is>
          <t>Not specified in supplied task-distribution image</t>
        </is>
      </c>
      <c r="J27" s="34" t="inlineStr">
        <is>
          <t>Not recorded at task level</t>
        </is>
      </c>
      <c r="K27" s="34" t="inlineStr">
        <is>
          <t>Not recorded</t>
        </is>
      </c>
      <c r="L27" s="34" t="inlineStr">
        <is>
          <t>Planned workstream: Frontend</t>
        </is>
      </c>
      <c r="M27" s="34" t="inlineStr">
        <is>
          <t>No task-specific issue recorded.</t>
        </is>
      </c>
      <c r="N27" s="34" t="inlineStr">
        <is>
          <t>frontend/src/App.jsx; evidence/screenshots/login-redesign.png; evidence/screenshots/dashboard-redesign.png</t>
        </is>
      </c>
      <c r="O27" s="34" t="inlineStr">
        <is>
          <t>Task ID, owner and planned hours transcribed from supplied distribution. Illustrative schedule date only; no actual work date was supplied.</t>
        </is>
      </c>
      <c r="P27" s="37" t="n"/>
    </row>
    <row r="28" ht="58" customHeight="1">
      <c r="A28" s="34" t="inlineStr">
        <is>
          <t>AF-027</t>
        </is>
      </c>
      <c r="B28" s="34" t="n">
        <v>8</v>
      </c>
      <c r="C28" s="34" t="inlineStr">
        <is>
          <t>Frontend</t>
        </is>
      </c>
      <c r="D28" s="34" t="inlineStr">
        <is>
          <t>Command Center dashboard</t>
        </is>
      </c>
      <c r="E28" s="34" t="inlineStr">
        <is>
          <t>Action dashboard</t>
        </is>
      </c>
      <c r="F28" s="35" t="inlineStr">
        <is>
          <t>Zahir</t>
        </is>
      </c>
      <c r="G28" s="36" t="n">
        <v>8</v>
      </c>
      <c r="H28" s="41" t="n">
        <v>46293</v>
      </c>
      <c r="I28" s="34" t="inlineStr">
        <is>
          <t>Not specified in supplied task-distribution image</t>
        </is>
      </c>
      <c r="J28" s="34" t="inlineStr">
        <is>
          <t>Not recorded at task level</t>
        </is>
      </c>
      <c r="K28" s="34" t="inlineStr">
        <is>
          <t>Not recorded</t>
        </is>
      </c>
      <c r="L28" s="34" t="inlineStr">
        <is>
          <t>Planned workstream: Frontend</t>
        </is>
      </c>
      <c r="M28" s="34" t="inlineStr">
        <is>
          <t>No task-specific issue recorded.</t>
        </is>
      </c>
      <c r="N28" s="34" t="inlineStr">
        <is>
          <t>frontend/src/App.jsx; evidence/screenshots/dashboard-redesign.png; evidence/screenshots/dashboard-dark.png</t>
        </is>
      </c>
      <c r="O28" s="34" t="inlineStr">
        <is>
          <t>Task ID, owner and planned hours transcribed from supplied distribution. Illustrative schedule date only; no actual work date was supplied.</t>
        </is>
      </c>
      <c r="P28" s="37" t="n"/>
    </row>
    <row r="29" ht="58" customHeight="1">
      <c r="A29" s="34" t="inlineStr">
        <is>
          <t>AF-028</t>
        </is>
      </c>
      <c r="B29" s="34" t="n">
        <v>8</v>
      </c>
      <c r="C29" s="34" t="inlineStr">
        <is>
          <t>Frontend</t>
        </is>
      </c>
      <c r="D29" s="34" t="inlineStr">
        <is>
          <t>Funnel Explorer</t>
        </is>
      </c>
      <c r="E29" s="34" t="inlineStr">
        <is>
          <t>Conversion visualization</t>
        </is>
      </c>
      <c r="F29" s="35" t="inlineStr">
        <is>
          <t>Zahir</t>
        </is>
      </c>
      <c r="G29" s="36" t="n">
        <v>6</v>
      </c>
      <c r="H29" s="41" t="n">
        <v>46293</v>
      </c>
      <c r="I29" s="34" t="inlineStr">
        <is>
          <t>Not specified in supplied task-distribution image</t>
        </is>
      </c>
      <c r="J29" s="34" t="inlineStr">
        <is>
          <t>Not recorded at task level</t>
        </is>
      </c>
      <c r="K29" s="34" t="inlineStr">
        <is>
          <t>Not recorded</t>
        </is>
      </c>
      <c r="L29" s="34" t="inlineStr">
        <is>
          <t>Planned workstream: Frontend</t>
        </is>
      </c>
      <c r="M29" s="34" t="inlineStr">
        <is>
          <t>No task-specific issue recorded.</t>
        </is>
      </c>
      <c r="N29" s="34" t="inlineStr">
        <is>
          <t>frontend/src/pages/WorkspacePages.jsx; evidence/metrics/analytics_report.json</t>
        </is>
      </c>
      <c r="O29" s="34" t="inlineStr">
        <is>
          <t>Task ID, owner and planned hours transcribed from supplied distribution. Illustrative schedule date only; no actual work date was supplied.</t>
        </is>
      </c>
      <c r="P29" s="37" t="n"/>
    </row>
    <row r="30" ht="58" customHeight="1">
      <c r="A30" s="34" t="inlineStr">
        <is>
          <t>AF-029</t>
        </is>
      </c>
      <c r="B30" s="34" t="n">
        <v>8</v>
      </c>
      <c r="C30" s="34" t="inlineStr">
        <is>
          <t>Frontend</t>
        </is>
      </c>
      <c r="D30" s="34" t="inlineStr">
        <is>
          <t>Cohort Explorer</t>
        </is>
      </c>
      <c r="E30" s="34" t="inlineStr">
        <is>
          <t>Cohort analysis</t>
        </is>
      </c>
      <c r="F30" s="35" t="inlineStr">
        <is>
          <t>Zahir</t>
        </is>
      </c>
      <c r="G30" s="36" t="n">
        <v>6</v>
      </c>
      <c r="H30" s="41" t="n">
        <v>46293</v>
      </c>
      <c r="I30" s="34" t="inlineStr">
        <is>
          <t>Not specified in supplied task-distribution image</t>
        </is>
      </c>
      <c r="J30" s="34" t="inlineStr">
        <is>
          <t>Not recorded at task level</t>
        </is>
      </c>
      <c r="K30" s="34" t="inlineStr">
        <is>
          <t>Not recorded</t>
        </is>
      </c>
      <c r="L30" s="34" t="inlineStr">
        <is>
          <t>Planned workstream: Frontend</t>
        </is>
      </c>
      <c r="M30" s="34" t="inlineStr">
        <is>
          <t>No task-specific issue recorded.</t>
        </is>
      </c>
      <c r="N30" s="34" t="inlineStr">
        <is>
          <t>frontend/src/pages/WorkspacePages.jsx; evidence/metrics/analytics_report.json</t>
        </is>
      </c>
      <c r="O30" s="34" t="inlineStr">
        <is>
          <t>Task ID, owner and planned hours transcribed from supplied distribution. Illustrative schedule date only; no actual work date was supplied.</t>
        </is>
      </c>
      <c r="P30" s="37" t="n"/>
    </row>
    <row r="31" ht="58" customHeight="1">
      <c r="A31" s="34" t="inlineStr">
        <is>
          <t>AF-030</t>
        </is>
      </c>
      <c r="B31" s="34" t="n">
        <v>8</v>
      </c>
      <c r="C31" s="34" t="inlineStr">
        <is>
          <t>Frontend</t>
        </is>
      </c>
      <c r="D31" s="34" t="inlineStr">
        <is>
          <t>Forecasting workspace</t>
        </is>
      </c>
      <c r="E31" s="34" t="inlineStr">
        <is>
          <t>Yield prediction</t>
        </is>
      </c>
      <c r="F31" s="35" t="inlineStr">
        <is>
          <t>Zahir</t>
        </is>
      </c>
      <c r="G31" s="36" t="n">
        <v>6</v>
      </c>
      <c r="H31" s="41" t="n">
        <v>46293</v>
      </c>
      <c r="I31" s="34" t="inlineStr">
        <is>
          <t>Not specified in supplied task-distribution image</t>
        </is>
      </c>
      <c r="J31" s="34" t="inlineStr">
        <is>
          <t>Not recorded at task level</t>
        </is>
      </c>
      <c r="K31" s="34" t="inlineStr">
        <is>
          <t>Not recorded</t>
        </is>
      </c>
      <c r="L31" s="34" t="inlineStr">
        <is>
          <t>Planned workstream: Frontend</t>
        </is>
      </c>
      <c r="M31" s="34" t="inlineStr">
        <is>
          <t>No task-specific issue recorded.</t>
        </is>
      </c>
      <c r="N31" s="34" t="inlineStr">
        <is>
          <t>frontend/src/pages/WorkspacePages.jsx; evidence/metrics/forecast_report.json</t>
        </is>
      </c>
      <c r="O31" s="34" t="inlineStr">
        <is>
          <t>Task ID, owner and planned hours transcribed from supplied distribution. Illustrative schedule date only; no actual work date was supplied.</t>
        </is>
      </c>
      <c r="P31" s="37" t="n"/>
    </row>
    <row r="32" ht="58" customHeight="1">
      <c r="A32" s="34" t="inlineStr">
        <is>
          <t>AF-031</t>
        </is>
      </c>
      <c r="B32" s="34" t="n">
        <v>8</v>
      </c>
      <c r="C32" s="34" t="inlineStr">
        <is>
          <t>Frontend</t>
        </is>
      </c>
      <c r="D32" s="34" t="inlineStr">
        <is>
          <t>Scenario Lab</t>
        </is>
      </c>
      <c r="E32" s="34" t="inlineStr">
        <is>
          <t>Scenario simulation</t>
        </is>
      </c>
      <c r="F32" s="35" t="inlineStr">
        <is>
          <t>Zahir</t>
        </is>
      </c>
      <c r="G32" s="36" t="n">
        <v>8</v>
      </c>
      <c r="H32" s="41" t="n">
        <v>46293</v>
      </c>
      <c r="I32" s="34" t="inlineStr">
        <is>
          <t>Not specified in supplied task-distribution image</t>
        </is>
      </c>
      <c r="J32" s="34" t="inlineStr">
        <is>
          <t>Not recorded at task level</t>
        </is>
      </c>
      <c r="K32" s="34" t="inlineStr">
        <is>
          <t>Not recorded</t>
        </is>
      </c>
      <c r="L32" s="34" t="inlineStr">
        <is>
          <t>Planned workstream: Frontend</t>
        </is>
      </c>
      <c r="M32" s="34" t="inlineStr">
        <is>
          <t>No task-specific issue recorded.</t>
        </is>
      </c>
      <c r="N32" s="34" t="inlineStr">
        <is>
          <t>frontend/src/pages/WorkspacePages.jsx; evidence/metrics/scenario_report.json; evidence/screenshots/scenario-redesign.png</t>
        </is>
      </c>
      <c r="O32" s="34" t="inlineStr">
        <is>
          <t>Task ID, owner and planned hours transcribed from supplied distribution. Illustrative schedule date only; no actual work date was supplied.</t>
        </is>
      </c>
      <c r="P32" s="37" t="n"/>
    </row>
    <row r="33" ht="58" customHeight="1">
      <c r="A33" s="34" t="inlineStr">
        <is>
          <t>AF-032</t>
        </is>
      </c>
      <c r="B33" s="34" t="n">
        <v>8</v>
      </c>
      <c r="C33" s="34" t="inlineStr">
        <is>
          <t>Frontend</t>
        </is>
      </c>
      <c r="D33" s="34" t="inlineStr">
        <is>
          <t>Programme Comparison</t>
        </is>
      </c>
      <c r="E33" s="34" t="inlineStr">
        <is>
          <t>Programme comparison</t>
        </is>
      </c>
      <c r="F33" s="35" t="inlineStr">
        <is>
          <t>Zahir</t>
        </is>
      </c>
      <c r="G33" s="36" t="n">
        <v>5</v>
      </c>
      <c r="H33" s="41" t="n">
        <v>46293</v>
      </c>
      <c r="I33" s="34" t="inlineStr">
        <is>
          <t>Not specified in supplied task-distribution image</t>
        </is>
      </c>
      <c r="J33" s="34" t="inlineStr">
        <is>
          <t>Not recorded at task level</t>
        </is>
      </c>
      <c r="K33" s="34" t="inlineStr">
        <is>
          <t>Not recorded</t>
        </is>
      </c>
      <c r="L33" s="34" t="inlineStr">
        <is>
          <t>Planned workstream: Frontend</t>
        </is>
      </c>
      <c r="M33" s="34" t="inlineStr">
        <is>
          <t>No task-specific issue recorded.</t>
        </is>
      </c>
      <c r="N33" s="34" t="inlineStr">
        <is>
          <t>frontend/src/pages/WorkspacePages.jsx; evidence/metrics/analytics_report.json</t>
        </is>
      </c>
      <c r="O33" s="34" t="inlineStr">
        <is>
          <t>Task ID, owner and planned hours transcribed from supplied distribution. Illustrative schedule date only; no actual work date was supplied.</t>
        </is>
      </c>
      <c r="P33" s="37" t="n"/>
    </row>
    <row r="34" ht="58" customHeight="1">
      <c r="A34" s="34" t="inlineStr">
        <is>
          <t>AF-033</t>
        </is>
      </c>
      <c r="B34" s="34" t="n">
        <v>8</v>
      </c>
      <c r="C34" s="34" t="inlineStr">
        <is>
          <t>Frontend</t>
        </is>
      </c>
      <c r="D34" s="34" t="inlineStr">
        <is>
          <t>Data Quality center</t>
        </is>
      </c>
      <c r="E34" s="34" t="inlineStr">
        <is>
          <t>Data-quality monitoring</t>
        </is>
      </c>
      <c r="F34" s="35" t="inlineStr">
        <is>
          <t>Zahir</t>
        </is>
      </c>
      <c r="G34" s="36" t="n">
        <v>5</v>
      </c>
      <c r="H34" s="41" t="n">
        <v>46293</v>
      </c>
      <c r="I34" s="34" t="inlineStr">
        <is>
          <t>Not specified in supplied task-distribution image</t>
        </is>
      </c>
      <c r="J34" s="34" t="inlineStr">
        <is>
          <t>Not recorded at task level</t>
        </is>
      </c>
      <c r="K34" s="34" t="inlineStr">
        <is>
          <t>Not recorded</t>
        </is>
      </c>
      <c r="L34" s="34" t="inlineStr">
        <is>
          <t>Planned workstream: Frontend</t>
        </is>
      </c>
      <c r="M34" s="34" t="inlineStr">
        <is>
          <t>No task-specific issue recorded.</t>
        </is>
      </c>
      <c r="N34" s="34" t="inlineStr">
        <is>
          <t>frontend/src/pages/WorkspacePages.jsx; evidence/dataset/validation_report.json</t>
        </is>
      </c>
      <c r="O34" s="34" t="inlineStr">
        <is>
          <t>Task ID, owner and planned hours transcribed from supplied distribution. Illustrative schedule date only; no actual work date was supplied.</t>
        </is>
      </c>
      <c r="P34" s="37" t="n"/>
    </row>
    <row r="35" ht="58" customHeight="1">
      <c r="A35" s="34" t="inlineStr">
        <is>
          <t>AF-034</t>
        </is>
      </c>
      <c r="B35" s="34" t="n">
        <v>8</v>
      </c>
      <c r="C35" s="34" t="inlineStr">
        <is>
          <t>Frontend</t>
        </is>
      </c>
      <c r="D35" s="34" t="inlineStr">
        <is>
          <t>Actions and Audit screens</t>
        </is>
      </c>
      <c r="E35" s="34" t="inlineStr">
        <is>
          <t>Action + audit</t>
        </is>
      </c>
      <c r="F35" s="35" t="inlineStr">
        <is>
          <t>Zahir</t>
        </is>
      </c>
      <c r="G35" s="36" t="n">
        <v>5</v>
      </c>
      <c r="H35" s="41" t="n">
        <v>46293</v>
      </c>
      <c r="I35" s="34" t="inlineStr">
        <is>
          <t>Not specified in supplied task-distribution image</t>
        </is>
      </c>
      <c r="J35" s="34" t="inlineStr">
        <is>
          <t>Not recorded at task level</t>
        </is>
      </c>
      <c r="K35" s="34" t="inlineStr">
        <is>
          <t>Not recorded</t>
        </is>
      </c>
      <c r="L35" s="34" t="inlineStr">
        <is>
          <t>Planned workstream: Frontend</t>
        </is>
      </c>
      <c r="M35" s="34" t="inlineStr">
        <is>
          <t>No task-specific issue recorded.</t>
        </is>
      </c>
      <c r="N35" s="34" t="inlineStr">
        <is>
          <t>frontend/src/pages/WorkspacePages.jsx; backend/admitflow/server.py</t>
        </is>
      </c>
      <c r="O35" s="34" t="inlineStr">
        <is>
          <t>Task ID, owner and planned hours transcribed from supplied distribution. Illustrative schedule date only; no actual work date was supplied.</t>
        </is>
      </c>
      <c r="P35" s="37" t="n"/>
    </row>
    <row r="36" ht="58" customHeight="1">
      <c r="A36" s="34" t="inlineStr">
        <is>
          <t>AF-035</t>
        </is>
      </c>
      <c r="B36" s="34" t="n">
        <v>8</v>
      </c>
      <c r="C36" s="34" t="inlineStr">
        <is>
          <t>Frontend</t>
        </is>
      </c>
      <c r="D36" s="34" t="inlineStr">
        <is>
          <t>Model/System transparency panel</t>
        </is>
      </c>
      <c r="E36" s="34" t="inlineStr">
        <is>
          <t>Model/system card</t>
        </is>
      </c>
      <c r="F36" s="35" t="inlineStr">
        <is>
          <t>Zahir</t>
        </is>
      </c>
      <c r="G36" s="36" t="n">
        <v>4</v>
      </c>
      <c r="H36" s="41" t="n">
        <v>46294</v>
      </c>
      <c r="I36" s="34" t="inlineStr">
        <is>
          <t>Not specified in supplied task-distribution image</t>
        </is>
      </c>
      <c r="J36" s="34" t="inlineStr">
        <is>
          <t>Not recorded at task level</t>
        </is>
      </c>
      <c r="K36" s="34" t="inlineStr">
        <is>
          <t>Not recorded</t>
        </is>
      </c>
      <c r="L36" s="34" t="inlineStr">
        <is>
          <t>Planned workstream: Frontend</t>
        </is>
      </c>
      <c r="M36" s="34" t="inlineStr">
        <is>
          <t>No task-specific issue recorded.</t>
        </is>
      </c>
      <c r="N36" s="34" t="inlineStr">
        <is>
          <t>frontend/src/pages/WorkspacePages.jsx; evidence/models/model_report.json</t>
        </is>
      </c>
      <c r="O36" s="34" t="inlineStr">
        <is>
          <t>Task ID, owner and planned hours transcribed from supplied distribution. Illustrative schedule date only; no actual work date was supplied.</t>
        </is>
      </c>
      <c r="P36" s="37" t="n"/>
    </row>
    <row r="37" ht="58" customHeight="1">
      <c r="A37" s="34" t="inlineStr">
        <is>
          <t>AF-036</t>
        </is>
      </c>
      <c r="B37" s="34" t="n">
        <v>8</v>
      </c>
      <c r="C37" s="34" t="inlineStr">
        <is>
          <t>Frontend</t>
        </is>
      </c>
      <c r="D37" s="34" t="inlineStr">
        <is>
          <t>Assistant</t>
        </is>
      </c>
      <c r="E37" s="34" t="inlineStr">
        <is>
          <t>Mandatory deliverables</t>
        </is>
      </c>
      <c r="F37" s="35" t="inlineStr">
        <is>
          <t>Zahir</t>
        </is>
      </c>
      <c r="G37" s="36" t="n">
        <v>6</v>
      </c>
      <c r="H37" s="41" t="n">
        <v>46294</v>
      </c>
      <c r="I37" s="34" t="inlineStr">
        <is>
          <t>Not specified in supplied task-distribution image</t>
        </is>
      </c>
      <c r="J37" s="34" t="inlineStr">
        <is>
          <t>Not recorded at task level</t>
        </is>
      </c>
      <c r="K37" s="34" t="inlineStr">
        <is>
          <t>Not recorded</t>
        </is>
      </c>
      <c r="L37" s="34" t="inlineStr">
        <is>
          <t>Planned workstream: Frontend</t>
        </is>
      </c>
      <c r="M37" s="34" t="inlineStr">
        <is>
          <t>No task-specific issue recorded.</t>
        </is>
      </c>
      <c r="N37" s="34" t="inlineStr">
        <is>
          <t>frontend/src/components/AssistantPanel.jsx; docs/API.md; evidence/screenshots/assistant-offline.png</t>
        </is>
      </c>
      <c r="O37" s="34" t="inlineStr">
        <is>
          <t>Task ID, owner and planned hours transcribed from supplied distribution. Illustrative schedule date only; no actual work date was supplied.</t>
        </is>
      </c>
      <c r="P37" s="37" t="n"/>
    </row>
    <row r="38" ht="58" customHeight="1">
      <c r="A38" s="34" t="inlineStr">
        <is>
          <t>AF-037</t>
        </is>
      </c>
      <c r="B38" s="34" t="n">
        <v>9</v>
      </c>
      <c r="C38" s="34" t="inlineStr">
        <is>
          <t>Engineering</t>
        </is>
      </c>
      <c r="D38" s="34" t="inlineStr">
        <is>
          <t>Unit tests</t>
        </is>
      </c>
      <c r="E38" s="34" t="inlineStr">
        <is>
          <t>Testing</t>
        </is>
      </c>
      <c r="F38" s="35" t="inlineStr">
        <is>
          <t>Zahir</t>
        </is>
      </c>
      <c r="G38" s="36" t="n">
        <v>6</v>
      </c>
      <c r="H38" s="41" t="n">
        <v>46294</v>
      </c>
      <c r="I38" s="34" t="inlineStr">
        <is>
          <t>Not specified in supplied task-distribution image</t>
        </is>
      </c>
      <c r="J38" s="34" t="inlineStr">
        <is>
          <t>Not recorded at task level</t>
        </is>
      </c>
      <c r="K38" s="34" t="inlineStr">
        <is>
          <t>Not recorded</t>
        </is>
      </c>
      <c r="L38" s="34" t="inlineStr">
        <is>
          <t>Planned workstream: Engineering</t>
        </is>
      </c>
      <c r="M38" s="34" t="inlineStr">
        <is>
          <t>No task-specific issue recorded.</t>
        </is>
      </c>
      <c r="N38" s="34" t="inlineStr">
        <is>
          <t>tests/; evidence/tests/backend_pytest.txt; frontend/src/App.test.jsx; evidence/tests/frontend_vitest.txt</t>
        </is>
      </c>
      <c r="O38" s="34" t="inlineStr">
        <is>
          <t>Task ID, owner and planned hours transcribed from supplied distribution. Illustrative schedule date only; no actual work date was supplied.</t>
        </is>
      </c>
      <c r="P38" s="37" t="n"/>
    </row>
    <row r="39" ht="58" customHeight="1">
      <c r="A39" s="34" t="inlineStr">
        <is>
          <t>AF-038</t>
        </is>
      </c>
      <c r="B39" s="34" t="n">
        <v>9</v>
      </c>
      <c r="C39" s="34" t="inlineStr">
        <is>
          <t>Engineering</t>
        </is>
      </c>
      <c r="D39" s="34" t="inlineStr">
        <is>
          <t>Integration/API tests</t>
        </is>
      </c>
      <c r="E39" s="34" t="inlineStr">
        <is>
          <t>Testing</t>
        </is>
      </c>
      <c r="F39" s="35" t="inlineStr">
        <is>
          <t>Zahir</t>
        </is>
      </c>
      <c r="G39" s="36" t="n">
        <v>6</v>
      </c>
      <c r="H39" s="41" t="n">
        <v>46294</v>
      </c>
      <c r="I39" s="34" t="inlineStr">
        <is>
          <t>Not specified in supplied task-distribution image</t>
        </is>
      </c>
      <c r="J39" s="34" t="inlineStr">
        <is>
          <t>Not recorded at task level</t>
        </is>
      </c>
      <c r="K39" s="34" t="inlineStr">
        <is>
          <t>Not recorded</t>
        </is>
      </c>
      <c r="L39" s="34" t="inlineStr">
        <is>
          <t>Planned workstream: Engineering</t>
        </is>
      </c>
      <c r="M39" s="34" t="inlineStr">
        <is>
          <t>No task-specific issue recorded.</t>
        </is>
      </c>
      <c r="N39" s="34" t="inlineStr">
        <is>
          <t>tests/test_api.py; tests/test_security.py; evidence/api/api_smoke.json</t>
        </is>
      </c>
      <c r="O39" s="34" t="inlineStr">
        <is>
          <t>Task ID, owner and planned hours transcribed from supplied distribution. Illustrative schedule date only; no actual work date was supplied.</t>
        </is>
      </c>
      <c r="P39" s="37" t="n"/>
    </row>
    <row r="40" ht="58" customHeight="1">
      <c r="A40" s="34" t="inlineStr">
        <is>
          <t>AF-039</t>
        </is>
      </c>
      <c r="B40" s="34" t="n">
        <v>9</v>
      </c>
      <c r="C40" s="34" t="inlineStr">
        <is>
          <t>Engineering</t>
        </is>
      </c>
      <c r="D40" s="34" t="inlineStr">
        <is>
          <t>Failure-mode and robustness tests</t>
        </is>
      </c>
      <c r="E40" s="34" t="inlineStr">
        <is>
          <t>Acceptance gates</t>
        </is>
      </c>
      <c r="F40" s="35" t="inlineStr">
        <is>
          <t>Zahir</t>
        </is>
      </c>
      <c r="G40" s="36" t="n">
        <v>5</v>
      </c>
      <c r="H40" s="41" t="n">
        <v>46294</v>
      </c>
      <c r="I40" s="34" t="inlineStr">
        <is>
          <t>Not specified in supplied task-distribution image</t>
        </is>
      </c>
      <c r="J40" s="34" t="inlineStr">
        <is>
          <t>Not recorded at task level</t>
        </is>
      </c>
      <c r="K40" s="34" t="inlineStr">
        <is>
          <t>Not recorded</t>
        </is>
      </c>
      <c r="L40" s="34" t="inlineStr">
        <is>
          <t>Planned workstream: Engineering</t>
        </is>
      </c>
      <c r="M40" s="34" t="inlineStr">
        <is>
          <t>No task-specific issue recorded.</t>
        </is>
      </c>
      <c r="N40" s="34" t="inlineStr">
        <is>
          <t>tests/; docs/TESTING.md</t>
        </is>
      </c>
      <c r="O40" s="34" t="inlineStr">
        <is>
          <t>Task ID, owner and planned hours transcribed from supplied distribution. Illustrative schedule date only; no actual work date was supplied.</t>
        </is>
      </c>
      <c r="P40" s="37" t="n"/>
    </row>
    <row r="41" ht="58" customHeight="1">
      <c r="A41" s="34" t="inlineStr">
        <is>
          <t>AF-040</t>
        </is>
      </c>
      <c r="B41" s="34" t="n">
        <v>9</v>
      </c>
      <c r="C41" s="34" t="inlineStr">
        <is>
          <t>Engineering</t>
        </is>
      </c>
      <c r="D41" s="34" t="inlineStr">
        <is>
          <t>Security/privacy checks</t>
        </is>
      </c>
      <c r="E41" s="34" t="inlineStr">
        <is>
          <t>Security/privacy</t>
        </is>
      </c>
      <c r="F41" s="35" t="inlineStr">
        <is>
          <t>Zahir</t>
        </is>
      </c>
      <c r="G41" s="36" t="n">
        <v>5</v>
      </c>
      <c r="H41" s="41" t="n">
        <v>46294</v>
      </c>
      <c r="I41" s="34" t="inlineStr">
        <is>
          <t>Not specified in supplied task-distribution image</t>
        </is>
      </c>
      <c r="J41" s="34" t="inlineStr">
        <is>
          <t>Not recorded at task level</t>
        </is>
      </c>
      <c r="K41" s="34" t="inlineStr">
        <is>
          <t>Not recorded</t>
        </is>
      </c>
      <c r="L41" s="34" t="inlineStr">
        <is>
          <t>Planned workstream: Engineering</t>
        </is>
      </c>
      <c r="M41" s="34" t="inlineStr">
        <is>
          <t>No task-specific issue recorded.</t>
        </is>
      </c>
      <c r="N41" s="34" t="inlineStr">
        <is>
          <t>tests/test_auth.py; tests/test_security.py; evidence/security/auth_check.json</t>
        </is>
      </c>
      <c r="O41" s="34" t="inlineStr">
        <is>
          <t>Task ID, owner and planned hours transcribed from supplied distribution. Illustrative schedule date only; no actual work date was supplied.</t>
        </is>
      </c>
      <c r="P41" s="37" t="n"/>
    </row>
    <row r="42" ht="58" customHeight="1">
      <c r="A42" s="34" t="inlineStr">
        <is>
          <t>AF-041</t>
        </is>
      </c>
      <c r="B42" s="34" t="n">
        <v>9</v>
      </c>
      <c r="C42" s="34" t="inlineStr">
        <is>
          <t>Engineering</t>
        </is>
      </c>
      <c r="D42" s="34" t="inlineStr">
        <is>
          <t>Docker/reproducible deployment</t>
        </is>
      </c>
      <c r="E42" s="34" t="inlineStr">
        <is>
          <t>Deployment</t>
        </is>
      </c>
      <c r="F42" s="35" t="inlineStr">
        <is>
          <t>Zahir</t>
        </is>
      </c>
      <c r="G42" s="36" t="n">
        <v>4</v>
      </c>
      <c r="H42" s="41" t="n">
        <v>46294</v>
      </c>
      <c r="I42" s="34" t="inlineStr">
        <is>
          <t>Not specified in supplied task-distribution image</t>
        </is>
      </c>
      <c r="J42" s="34" t="inlineStr">
        <is>
          <t>Not recorded at task level</t>
        </is>
      </c>
      <c r="K42" s="34" t="inlineStr">
        <is>
          <t>Not recorded</t>
        </is>
      </c>
      <c r="L42" s="34" t="inlineStr">
        <is>
          <t>Planned workstream: Engineering</t>
        </is>
      </c>
      <c r="M42" s="34" t="inlineStr">
        <is>
          <t>Not evidenced in project files; do not mark complete without container artifacts.</t>
        </is>
      </c>
      <c r="N42" s="34" t="inlineStr">
        <is>
          <t>Not located; planned deliverable (no Docker configuration or container deployment evidence identified).</t>
        </is>
      </c>
      <c r="O42" s="34" t="inlineStr">
        <is>
          <t>Task ID, owner and planned hours transcribed from supplied distribution. Illustrative schedule date only; no actual work date was supplied.</t>
        </is>
      </c>
      <c r="P42" s="37" t="n"/>
    </row>
    <row r="43" ht="58" customHeight="1">
      <c r="A43" s="34" t="inlineStr">
        <is>
          <t>AF-042</t>
        </is>
      </c>
      <c r="B43" s="34" t="n">
        <v>9</v>
      </c>
      <c r="C43" s="34" t="inlineStr">
        <is>
          <t>Engineering</t>
        </is>
      </c>
      <c r="D43" s="34" t="inlineStr">
        <is>
          <t>CI/CD pipeline</t>
        </is>
      </c>
      <c r="E43" s="34" t="inlineStr">
        <is>
          <t>Engineering evidence</t>
        </is>
      </c>
      <c r="F43" s="35" t="inlineStr">
        <is>
          <t>Zahir</t>
        </is>
      </c>
      <c r="G43" s="36" t="n">
        <v>4</v>
      </c>
      <c r="H43" s="41" t="n">
        <v>46294</v>
      </c>
      <c r="I43" s="34" t="inlineStr">
        <is>
          <t>Not specified in supplied task-distribution image</t>
        </is>
      </c>
      <c r="J43" s="34" t="inlineStr">
        <is>
          <t>Not recorded at task level</t>
        </is>
      </c>
      <c r="K43" s="34" t="inlineStr">
        <is>
          <t>Not recorded</t>
        </is>
      </c>
      <c r="L43" s="34" t="inlineStr">
        <is>
          <t>Planned workstream: Engineering</t>
        </is>
      </c>
      <c r="M43" s="34" t="inlineStr">
        <is>
          <t>Not evidenced in project files; do not mark complete without CI/CD artifacts.</t>
        </is>
      </c>
      <c r="N43" s="34" t="inlineStr">
        <is>
          <t>Not located; planned deliverable (no CI/CD workflow evidence identified).</t>
        </is>
      </c>
      <c r="O43" s="34" t="inlineStr">
        <is>
          <t>Task ID, owner and planned hours transcribed from supplied distribution. Illustrative schedule date only; no actual work date was supplied.</t>
        </is>
      </c>
      <c r="P43" s="37" t="n"/>
    </row>
    <row r="44" ht="58" customHeight="1">
      <c r="A44" s="34" t="inlineStr">
        <is>
          <t>AF-043</t>
        </is>
      </c>
      <c r="B44" s="34" t="n">
        <v>9</v>
      </c>
      <c r="C44" s="34" t="inlineStr">
        <is>
          <t>Engineering</t>
        </is>
      </c>
      <c r="D44" s="34" t="inlineStr">
        <is>
          <t>Logs, health and monitoring</t>
        </is>
      </c>
      <c r="E44" s="34" t="inlineStr">
        <is>
          <t>Observability</t>
        </is>
      </c>
      <c r="F44" s="35" t="inlineStr">
        <is>
          <t>Zahir</t>
        </is>
      </c>
      <c r="G44" s="36" t="n">
        <v>5</v>
      </c>
      <c r="H44" s="41" t="n">
        <v>46295</v>
      </c>
      <c r="I44" s="34" t="inlineStr">
        <is>
          <t>Not specified in supplied task-distribution image</t>
        </is>
      </c>
      <c r="J44" s="34" t="inlineStr">
        <is>
          <t>Not recorded at task level</t>
        </is>
      </c>
      <c r="K44" s="34" t="inlineStr">
        <is>
          <t>Not recorded</t>
        </is>
      </c>
      <c r="L44" s="34" t="inlineStr">
        <is>
          <t>Planned workstream: Engineering</t>
        </is>
      </c>
      <c r="M44" s="34" t="inlineStr">
        <is>
          <t>No task-specific issue recorded.</t>
        </is>
      </c>
      <c r="N44" s="34" t="inlineStr">
        <is>
          <t>docs/API.md; backend/admitflow/server.py (local health route only)</t>
        </is>
      </c>
      <c r="O44" s="34" t="inlineStr">
        <is>
          <t>Task ID, owner and planned hours transcribed from supplied distribution. Illustrative schedule date only; no actual work date was supplied.</t>
        </is>
      </c>
      <c r="P44" s="37" t="n"/>
    </row>
    <row r="45" ht="58" customHeight="1">
      <c r="A45" s="34" t="inlineStr">
        <is>
          <t>AF-044</t>
        </is>
      </c>
      <c r="B45" s="34" t="n">
        <v>10</v>
      </c>
      <c r="C45" s="34" t="inlineStr">
        <is>
          <t>Deployment</t>
        </is>
      </c>
      <c r="D45" s="34" t="inlineStr">
        <is>
          <t>Live deployment</t>
        </is>
      </c>
      <c r="E45" s="34" t="inlineStr">
        <is>
          <t>Deployable demo</t>
        </is>
      </c>
      <c r="F45" s="35" t="inlineStr">
        <is>
          <t>Zahir</t>
        </is>
      </c>
      <c r="G45" s="36" t="n">
        <v>6</v>
      </c>
      <c r="H45" s="41" t="n">
        <v>46295</v>
      </c>
      <c r="I45" s="34" t="inlineStr">
        <is>
          <t>Not specified in supplied task-distribution image</t>
        </is>
      </c>
      <c r="J45" s="34" t="inlineStr">
        <is>
          <t>Not recorded at task level</t>
        </is>
      </c>
      <c r="K45" s="34" t="inlineStr">
        <is>
          <t>Not recorded</t>
        </is>
      </c>
      <c r="L45" s="34" t="inlineStr">
        <is>
          <t>Planned workstream: Deployment</t>
        </is>
      </c>
      <c r="M45" s="34" t="inlineStr">
        <is>
          <t>Live deployment is not evidenced; project is documented as a local prototype.</t>
        </is>
      </c>
      <c r="N45" s="34" t="inlineStr">
        <is>
          <t>Not located; planned deliverable (project documentation describes a local prototype, not live deployment).</t>
        </is>
      </c>
      <c r="O45" s="34" t="inlineStr">
        <is>
          <t>Task ID, owner and planned hours transcribed from supplied distribution. Illustrative schedule date only; no actual work date was supplied.</t>
        </is>
      </c>
      <c r="P45" s="37" t="n"/>
    </row>
    <row r="46" ht="58" customHeight="1">
      <c r="A46" s="34" t="inlineStr">
        <is>
          <t>AF-045</t>
        </is>
      </c>
      <c r="B46" s="34" t="n">
        <v>10</v>
      </c>
      <c r="C46" s="34" t="inlineStr">
        <is>
          <t>Deployment</t>
        </is>
      </c>
      <c r="D46" s="34" t="inlineStr">
        <is>
          <t>Production smoke tests</t>
        </is>
      </c>
      <c r="E46" s="34" t="inlineStr">
        <is>
          <t>Deployment evidence</t>
        </is>
      </c>
      <c r="F46" s="35" t="inlineStr">
        <is>
          <t>Zahir</t>
        </is>
      </c>
      <c r="G46" s="36" t="n">
        <v>3</v>
      </c>
      <c r="H46" s="41" t="n">
        <v>46295</v>
      </c>
      <c r="I46" s="34" t="inlineStr">
        <is>
          <t>Not specified in supplied task-distribution image</t>
        </is>
      </c>
      <c r="J46" s="34" t="inlineStr">
        <is>
          <t>Not recorded at task level</t>
        </is>
      </c>
      <c r="K46" s="34" t="inlineStr">
        <is>
          <t>Not recorded</t>
        </is>
      </c>
      <c r="L46" s="34" t="inlineStr">
        <is>
          <t>Planned workstream: Deployment</t>
        </is>
      </c>
      <c r="M46" s="34" t="inlineStr">
        <is>
          <t>Available smoke evidence is local API verification, not production deployment testing.</t>
        </is>
      </c>
      <c r="N46" s="34" t="inlineStr">
        <is>
          <t>evidence/api/api_smoke.json (local API smoke evidence; production deployment not verified).</t>
        </is>
      </c>
      <c r="O46" s="34" t="inlineStr">
        <is>
          <t>Task ID, owner and planned hours transcribed from supplied distribution. Illustrative schedule date only; no actual work date was supplied.</t>
        </is>
      </c>
      <c r="P46" s="37" t="n"/>
    </row>
    <row r="47" ht="58" customHeight="1">
      <c r="A47" s="34" t="inlineStr">
        <is>
          <t>AF-046</t>
        </is>
      </c>
      <c r="B47" s="34" t="n">
        <v>11</v>
      </c>
      <c r="C47" s="34" t="inlineStr">
        <is>
          <t>Documentation</t>
        </is>
      </c>
      <c r="D47" s="34" t="inlineStr">
        <is>
          <t>C4 architecture and data-flow diagrams</t>
        </is>
      </c>
      <c r="E47" s="34" t="inlineStr">
        <is>
          <t>Chapter 3</t>
        </is>
      </c>
      <c r="F47" s="35" t="inlineStr">
        <is>
          <t>Samiksha</t>
        </is>
      </c>
      <c r="G47" s="36" t="n">
        <v>5</v>
      </c>
      <c r="H47" s="41" t="n">
        <v>46295</v>
      </c>
      <c r="I47" s="34" t="inlineStr">
        <is>
          <t>Not specified in supplied task-distribution image</t>
        </is>
      </c>
      <c r="J47" s="34" t="inlineStr">
        <is>
          <t>Not recorded at task level</t>
        </is>
      </c>
      <c r="K47" s="34" t="inlineStr">
        <is>
          <t>Not recorded</t>
        </is>
      </c>
      <c r="L47" s="34" t="inlineStr">
        <is>
          <t>Planned workstream: Documentation</t>
        </is>
      </c>
      <c r="M47" s="34" t="inlineStr">
        <is>
          <t>No task-specific issue recorded.</t>
        </is>
      </c>
      <c r="N47" s="34" t="inlineStr">
        <is>
          <t>docs/ARCHITECTURE.md; docs/ADMITFLOW_BLACK_BOOK.md</t>
        </is>
      </c>
      <c r="O47" s="34" t="inlineStr">
        <is>
          <t>Task ID, owner and planned hours transcribed from supplied distribution. Illustrative schedule date only; no actual work date was supplied.</t>
        </is>
      </c>
      <c r="P47" s="37" t="n"/>
    </row>
    <row r="48" ht="58" customHeight="1">
      <c r="A48" s="34" t="inlineStr">
        <is>
          <t>AF-047</t>
        </is>
      </c>
      <c r="B48" s="34" t="n">
        <v>11</v>
      </c>
      <c r="C48" s="34" t="inlineStr">
        <is>
          <t>Documentation</t>
        </is>
      </c>
      <c r="D48" s="34" t="inlineStr">
        <is>
          <t>ER diagram</t>
        </is>
      </c>
      <c r="E48" s="34" t="inlineStr">
        <is>
          <t>Chapter 3</t>
        </is>
      </c>
      <c r="F48" s="35" t="inlineStr">
        <is>
          <t>Samiksha</t>
        </is>
      </c>
      <c r="G48" s="36" t="n">
        <v>4</v>
      </c>
      <c r="H48" s="41" t="n">
        <v>46295</v>
      </c>
      <c r="I48" s="34" t="inlineStr">
        <is>
          <t>Not specified in supplied task-distribution image</t>
        </is>
      </c>
      <c r="J48" s="34" t="inlineStr">
        <is>
          <t>Not recorded at task level</t>
        </is>
      </c>
      <c r="K48" s="34" t="inlineStr">
        <is>
          <t>Not recorded</t>
        </is>
      </c>
      <c r="L48" s="34" t="inlineStr">
        <is>
          <t>Planned workstream: Documentation</t>
        </is>
      </c>
      <c r="M48" s="34" t="inlineStr">
        <is>
          <t>No task-specific issue recorded.</t>
        </is>
      </c>
      <c r="N48" s="34" t="inlineStr">
        <is>
          <t>docs/ADMITFLOW_BLACK_BOOK.md (database ER diagram)</t>
        </is>
      </c>
      <c r="O48" s="34" t="inlineStr">
        <is>
          <t>Task ID, owner and planned hours transcribed from supplied distribution. Illustrative schedule date only; no actual work date was supplied.</t>
        </is>
      </c>
      <c r="P48" s="37" t="n"/>
    </row>
    <row r="49" ht="58" customHeight="1">
      <c r="A49" s="34" t="inlineStr">
        <is>
          <t>AF-048</t>
        </is>
      </c>
      <c r="B49" s="34" t="n">
        <v>11</v>
      </c>
      <c r="C49" s="34" t="inlineStr">
        <is>
          <t>Documentation</t>
        </is>
      </c>
      <c r="D49" s="34" t="inlineStr">
        <is>
          <t>DFD Level 0/1</t>
        </is>
      </c>
      <c r="E49" s="34" t="inlineStr">
        <is>
          <t>Chapter 3</t>
        </is>
      </c>
      <c r="F49" s="35" t="inlineStr">
        <is>
          <t>Samiksha</t>
        </is>
      </c>
      <c r="G49" s="36" t="n">
        <v>5</v>
      </c>
      <c r="H49" s="41" t="n">
        <v>46295</v>
      </c>
      <c r="I49" s="34" t="inlineStr">
        <is>
          <t>Not specified in supplied task-distribution image</t>
        </is>
      </c>
      <c r="J49" s="34" t="inlineStr">
        <is>
          <t>Not recorded at task level</t>
        </is>
      </c>
      <c r="K49" s="34" t="inlineStr">
        <is>
          <t>Not recorded</t>
        </is>
      </c>
      <c r="L49" s="34" t="inlineStr">
        <is>
          <t>Planned workstream: Documentation</t>
        </is>
      </c>
      <c r="M49" s="34" t="inlineStr">
        <is>
          <t>No task-specific issue recorded.</t>
        </is>
      </c>
      <c r="N49" s="34" t="inlineStr">
        <is>
          <t>docs/ARCHITECTURE.md; docs/ADMITFLOW_BLACK_BOOK.md</t>
        </is>
      </c>
      <c r="O49" s="34" t="inlineStr">
        <is>
          <t>Task ID, owner and planned hours transcribed from supplied distribution. Illustrative schedule date only; no actual work date was supplied.</t>
        </is>
      </c>
      <c r="P49" s="37" t="n"/>
    </row>
    <row r="50" ht="58" customHeight="1">
      <c r="A50" s="34" t="inlineStr">
        <is>
          <t>AF-049</t>
        </is>
      </c>
      <c r="B50" s="34" t="n">
        <v>11</v>
      </c>
      <c r="C50" s="34" t="inlineStr">
        <is>
          <t>Documentation</t>
        </is>
      </c>
      <c r="D50" s="34" t="inlineStr">
        <is>
          <t>UML use-case/class/sequence/state</t>
        </is>
      </c>
      <c r="E50" s="34" t="inlineStr">
        <is>
          <t>Chapter 3</t>
        </is>
      </c>
      <c r="F50" s="35" t="inlineStr">
        <is>
          <t>Samiksha</t>
        </is>
      </c>
      <c r="G50" s="36" t="n">
        <v>7</v>
      </c>
      <c r="H50" s="41" t="n">
        <v>46295</v>
      </c>
      <c r="I50" s="34" t="inlineStr">
        <is>
          <t>Not specified in supplied task-distribution image</t>
        </is>
      </c>
      <c r="J50" s="34" t="inlineStr">
        <is>
          <t>Not recorded at task level</t>
        </is>
      </c>
      <c r="K50" s="34" t="inlineStr">
        <is>
          <t>Not recorded</t>
        </is>
      </c>
      <c r="L50" s="34" t="inlineStr">
        <is>
          <t>Planned workstream: Documentation</t>
        </is>
      </c>
      <c r="M50" s="34" t="inlineStr">
        <is>
          <t>No task-specific issue recorded.</t>
        </is>
      </c>
      <c r="N50" s="34" t="inlineStr">
        <is>
          <t>docs/ARCHITECTURE.md; docs/ADMITFLOW_BLACK_BOOK.md</t>
        </is>
      </c>
      <c r="O50" s="34" t="inlineStr">
        <is>
          <t>Task ID, owner and planned hours transcribed from supplied distribution. Illustrative schedule date only; no actual work date was supplied.</t>
        </is>
      </c>
      <c r="P50" s="37" t="n"/>
    </row>
    <row r="51" ht="58" customHeight="1">
      <c r="A51" s="34" t="inlineStr">
        <is>
          <t>AF-050</t>
        </is>
      </c>
      <c r="B51" s="34" t="n">
        <v>11</v>
      </c>
      <c r="C51" s="34" t="inlineStr">
        <is>
          <t>Documentation</t>
        </is>
      </c>
      <c r="D51" s="34" t="inlineStr">
        <is>
          <t>Gantt chart</t>
        </is>
      </c>
      <c r="E51" s="34" t="inlineStr">
        <is>
          <t>Chapter 3</t>
        </is>
      </c>
      <c r="F51" s="35" t="inlineStr">
        <is>
          <t>Samiksha</t>
        </is>
      </c>
      <c r="G51" s="36" t="n">
        <v>3</v>
      </c>
      <c r="H51" s="41" t="n">
        <v>46295</v>
      </c>
      <c r="I51" s="34" t="inlineStr">
        <is>
          <t>Not specified in supplied task-distribution image</t>
        </is>
      </c>
      <c r="J51" s="34" t="inlineStr">
        <is>
          <t>Not recorded at task level</t>
        </is>
      </c>
      <c r="K51" s="34" t="inlineStr">
        <is>
          <t>Not recorded</t>
        </is>
      </c>
      <c r="L51" s="34" t="inlineStr">
        <is>
          <t>Planned workstream: Documentation</t>
        </is>
      </c>
      <c r="M51" s="34" t="inlineStr">
        <is>
          <t>Dated Gantt cannot be substantiated; task start/finish dates are absent.</t>
        </is>
      </c>
      <c r="N51" s="34" t="inlineStr">
        <is>
          <t>docs/ADMITFLOW_BLACK_BOOK.md (schedule note; dated Gantt is unsupported because task dates are absent).</t>
        </is>
      </c>
      <c r="O51" s="34" t="inlineStr">
        <is>
          <t>Task ID, owner and planned hours transcribed from supplied distribution. Illustrative schedule date only; no actual work date was supplied.</t>
        </is>
      </c>
      <c r="P51" s="37" t="n"/>
    </row>
    <row r="52" ht="58" customHeight="1">
      <c r="A52" s="34" t="inlineStr">
        <is>
          <t>AF-051</t>
        </is>
      </c>
      <c r="B52" s="34" t="n">
        <v>11</v>
      </c>
      <c r="C52" s="34" t="inlineStr">
        <is>
          <t>Documentation</t>
        </is>
      </c>
      <c r="D52" s="34" t="inlineStr">
        <is>
          <t>Test-case documentation</t>
        </is>
      </c>
      <c r="E52" s="34" t="inlineStr">
        <is>
          <t>Chapter 4</t>
        </is>
      </c>
      <c r="F52" s="35" t="inlineStr">
        <is>
          <t>Samiksha</t>
        </is>
      </c>
      <c r="G52" s="36" t="n">
        <v>7</v>
      </c>
      <c r="H52" s="41" t="n">
        <v>46295</v>
      </c>
      <c r="I52" s="34" t="inlineStr">
        <is>
          <t>Not specified in supplied task-distribution image</t>
        </is>
      </c>
      <c r="J52" s="34" t="inlineStr">
        <is>
          <t>Not recorded at task level</t>
        </is>
      </c>
      <c r="K52" s="34" t="inlineStr">
        <is>
          <t>Not recorded</t>
        </is>
      </c>
      <c r="L52" s="34" t="inlineStr">
        <is>
          <t>Planned workstream: Documentation</t>
        </is>
      </c>
      <c r="M52" s="34" t="inlineStr">
        <is>
          <t>No task-specific issue recorded.</t>
        </is>
      </c>
      <c r="N52" s="34" t="inlineStr">
        <is>
          <t>docs/TESTING.md; tests/; evidence/tests/</t>
        </is>
      </c>
      <c r="O52" s="34" t="inlineStr">
        <is>
          <t>Task ID, owner and planned hours transcribed from supplied distribution. Illustrative schedule date only; no actual work date was supplied.</t>
        </is>
      </c>
      <c r="P52" s="37" t="n"/>
    </row>
    <row r="53" ht="58" customHeight="1">
      <c r="A53" s="34" t="inlineStr">
        <is>
          <t>AF-052</t>
        </is>
      </c>
      <c r="B53" s="34" t="n">
        <v>11</v>
      </c>
      <c r="C53" s="34" t="inlineStr">
        <is>
          <t>Documentation</t>
        </is>
      </c>
      <c r="D53" s="34" t="inlineStr">
        <is>
          <t>Results/screenshots/evidence index</t>
        </is>
      </c>
      <c r="E53" s="34" t="inlineStr">
        <is>
          <t>Chapter 5</t>
        </is>
      </c>
      <c r="F53" s="35" t="inlineStr">
        <is>
          <t>Samiksha</t>
        </is>
      </c>
      <c r="G53" s="36" t="n">
        <v>5</v>
      </c>
      <c r="H53" s="41" t="n">
        <v>46296</v>
      </c>
      <c r="I53" s="34" t="inlineStr">
        <is>
          <t>Not specified in supplied task-distribution image</t>
        </is>
      </c>
      <c r="J53" s="34" t="inlineStr">
        <is>
          <t>Not recorded at task level</t>
        </is>
      </c>
      <c r="K53" s="34" t="inlineStr">
        <is>
          <t>Not recorded</t>
        </is>
      </c>
      <c r="L53" s="34" t="inlineStr">
        <is>
          <t>Planned workstream: Documentation</t>
        </is>
      </c>
      <c r="M53" s="34" t="inlineStr">
        <is>
          <t>No task-specific issue recorded.</t>
        </is>
      </c>
      <c r="N53" s="34" t="inlineStr">
        <is>
          <t>docs/EVIDENCE.md; evidence/reports/evidence_manifest.json; evidence/screenshots/</t>
        </is>
      </c>
      <c r="O53" s="34" t="inlineStr">
        <is>
          <t>Task ID, owner and planned hours transcribed from supplied distribution. Illustrative schedule date only; no actual work date was supplied.</t>
        </is>
      </c>
      <c r="P53" s="37" t="n"/>
    </row>
    <row r="54" ht="58" customHeight="1">
      <c r="A54" s="34" t="inlineStr">
        <is>
          <t>AF-053</t>
        </is>
      </c>
      <c r="B54" s="34" t="n">
        <v>11</v>
      </c>
      <c r="C54" s="34" t="inlineStr">
        <is>
          <t>Documentation</t>
        </is>
      </c>
      <c r="D54" s="34" t="inlineStr">
        <is>
          <t>Evaluation dossier structure</t>
        </is>
      </c>
      <c r="E54" s="34" t="inlineStr">
        <is>
          <t>Chapter 5</t>
        </is>
      </c>
      <c r="F54" s="35" t="inlineStr">
        <is>
          <t>Samiksha</t>
        </is>
      </c>
      <c r="G54" s="36" t="n">
        <v>5</v>
      </c>
      <c r="H54" s="41" t="n">
        <v>46296</v>
      </c>
      <c r="I54" s="34" t="inlineStr">
        <is>
          <t>Not specified in supplied task-distribution image</t>
        </is>
      </c>
      <c r="J54" s="34" t="inlineStr">
        <is>
          <t>Not recorded at task level</t>
        </is>
      </c>
      <c r="K54" s="34" t="inlineStr">
        <is>
          <t>Not recorded</t>
        </is>
      </c>
      <c r="L54" s="34" t="inlineStr">
        <is>
          <t>Planned workstream: Documentation</t>
        </is>
      </c>
      <c r="M54" s="34" t="inlineStr">
        <is>
          <t>No task-specific issue recorded.</t>
        </is>
      </c>
      <c r="N54" s="34" t="inlineStr">
        <is>
          <t>docs/MODEL_METHODOLOGY.md; docs/ADMITFLOW_VIVA_PREPARATION.md</t>
        </is>
      </c>
      <c r="O54" s="34" t="inlineStr">
        <is>
          <t>Task ID, owner and planned hours transcribed from supplied distribution. Illustrative schedule date only; no actual work date was supplied.</t>
        </is>
      </c>
      <c r="P54" s="37" t="n"/>
    </row>
    <row r="55" ht="58" customHeight="1">
      <c r="A55" s="34" t="inlineStr">
        <is>
          <t>AF-054</t>
        </is>
      </c>
      <c r="B55" s="34" t="n">
        <v>11</v>
      </c>
      <c r="C55" s="34" t="inlineStr">
        <is>
          <t>Documentation</t>
        </is>
      </c>
      <c r="D55" s="34" t="inlineStr">
        <is>
          <t>Model/system card inputs</t>
        </is>
      </c>
      <c r="E55" s="34" t="inlineStr">
        <is>
          <t>Chapter 5/7</t>
        </is>
      </c>
      <c r="F55" s="35" t="inlineStr">
        <is>
          <t>Samiksha</t>
        </is>
      </c>
      <c r="G55" s="36" t="n">
        <v>4</v>
      </c>
      <c r="H55" s="41" t="n">
        <v>46296</v>
      </c>
      <c r="I55" s="34" t="inlineStr">
        <is>
          <t>Not specified in supplied task-distribution image</t>
        </is>
      </c>
      <c r="J55" s="34" t="inlineStr">
        <is>
          <t>Not recorded at task level</t>
        </is>
      </c>
      <c r="K55" s="34" t="inlineStr">
        <is>
          <t>Not recorded</t>
        </is>
      </c>
      <c r="L55" s="34" t="inlineStr">
        <is>
          <t>Planned workstream: Documentation</t>
        </is>
      </c>
      <c r="M55" s="34" t="inlineStr">
        <is>
          <t>No task-specific issue recorded.</t>
        </is>
      </c>
      <c r="N55" s="34" t="inlineStr">
        <is>
          <t>docs/MODEL_METHODOLOGY.md; docs/ADMITFLOW_VIVA_PREPARATION.md</t>
        </is>
      </c>
      <c r="O55" s="34" t="inlineStr">
        <is>
          <t>Task ID, owner and planned hours transcribed from supplied distribution. Illustrative schedule date only; no actual work date was supplied.</t>
        </is>
      </c>
      <c r="P55" s="37" t="n"/>
    </row>
    <row r="56" ht="58" customHeight="1">
      <c r="A56" s="34" t="inlineStr">
        <is>
          <t>AF-055</t>
        </is>
      </c>
      <c r="B56" s="34" t="n">
        <v>11</v>
      </c>
      <c r="C56" s="34" t="inlineStr">
        <is>
          <t>Documentation</t>
        </is>
      </c>
      <c r="D56" s="34" t="inlineStr">
        <is>
          <t>Admin/user guide content</t>
        </is>
      </c>
      <c r="E56" s="34" t="inlineStr">
        <is>
          <t>Mandatory deliverables</t>
        </is>
      </c>
      <c r="F56" s="35" t="inlineStr">
        <is>
          <t>Samiksha</t>
        </is>
      </c>
      <c r="G56" s="36" t="n">
        <v>5</v>
      </c>
      <c r="H56" s="41" t="n">
        <v>46296</v>
      </c>
      <c r="I56" s="34" t="inlineStr">
        <is>
          <t>Not specified in supplied task-distribution image</t>
        </is>
      </c>
      <c r="J56" s="34" t="inlineStr">
        <is>
          <t>Not recorded at task level</t>
        </is>
      </c>
      <c r="K56" s="34" t="inlineStr">
        <is>
          <t>Not recorded</t>
        </is>
      </c>
      <c r="L56" s="34" t="inlineStr">
        <is>
          <t>Planned workstream: Documentation</t>
        </is>
      </c>
      <c r="M56" s="34" t="inlineStr">
        <is>
          <t>No dedicated admin/user guide was located.</t>
        </is>
      </c>
      <c r="N56" s="34" t="inlineStr">
        <is>
          <t>Not located as a dedicated user guide; planned deliverable.</t>
        </is>
      </c>
      <c r="O56" s="34" t="inlineStr">
        <is>
          <t>Task ID, owner and planned hours transcribed from supplied distribution. Illustrative schedule date only; no actual work date was supplied.</t>
        </is>
      </c>
      <c r="P56" s="37" t="n"/>
    </row>
    <row r="57" ht="58" customHeight="1">
      <c r="A57" s="34" t="inlineStr">
        <is>
          <t>AF-056</t>
        </is>
      </c>
      <c r="B57" s="34" t="n">
        <v>12</v>
      </c>
      <c r="C57" s="34" t="inlineStr">
        <is>
          <t>Black Book</t>
        </is>
      </c>
      <c r="D57" s="34" t="inlineStr">
        <is>
          <t>Chapter 1 ? Introduction</t>
        </is>
      </c>
      <c r="E57" s="34" t="inlineStr">
        <is>
          <t>Black Book Ch. 1</t>
        </is>
      </c>
      <c r="F57" s="35" t="inlineStr">
        <is>
          <t>Samiksha</t>
        </is>
      </c>
      <c r="G57" s="36" t="n">
        <v>6</v>
      </c>
      <c r="H57" s="41" t="n">
        <v>46296</v>
      </c>
      <c r="I57" s="34" t="inlineStr">
        <is>
          <t>Not specified in supplied task-distribution image</t>
        </is>
      </c>
      <c r="J57" s="34" t="inlineStr">
        <is>
          <t>Not recorded at task level</t>
        </is>
      </c>
      <c r="K57" s="34" t="inlineStr">
        <is>
          <t>Not recorded</t>
        </is>
      </c>
      <c r="L57" s="34" t="inlineStr">
        <is>
          <t>Planned workstream: Black Book</t>
        </is>
      </c>
      <c r="M57" s="34" t="inlineStr">
        <is>
          <t>No task-specific issue recorded.</t>
        </is>
      </c>
      <c r="N57" s="34" t="inlineStr">
        <is>
          <t>docs/ADMITFLOW_BLACK_BOOK.md ? Chapter 1</t>
        </is>
      </c>
      <c r="O57" s="34" t="inlineStr">
        <is>
          <t>Task ID, owner and planned hours transcribed from supplied distribution. Illustrative schedule date only; no actual work date was supplied.</t>
        </is>
      </c>
      <c r="P57" s="37" t="n"/>
    </row>
    <row r="58" ht="58" customHeight="1">
      <c r="A58" s="34" t="inlineStr">
        <is>
          <t>AF-057</t>
        </is>
      </c>
      <c r="B58" s="34" t="n">
        <v>12</v>
      </c>
      <c r="C58" s="34" t="inlineStr">
        <is>
          <t>Black Book</t>
        </is>
      </c>
      <c r="D58" s="34" t="inlineStr">
        <is>
          <t>Chapter 2 ? System Analysis</t>
        </is>
      </c>
      <c r="E58" s="34" t="inlineStr">
        <is>
          <t>Black Book Ch. 2</t>
        </is>
      </c>
      <c r="F58" s="35" t="inlineStr">
        <is>
          <t>Samiksha</t>
        </is>
      </c>
      <c r="G58" s="36" t="n">
        <v>7</v>
      </c>
      <c r="H58" s="41" t="n">
        <v>46296</v>
      </c>
      <c r="I58" s="34" t="inlineStr">
        <is>
          <t>Not specified in supplied task-distribution image</t>
        </is>
      </c>
      <c r="J58" s="34" t="inlineStr">
        <is>
          <t>Not recorded at task level</t>
        </is>
      </c>
      <c r="K58" s="34" t="inlineStr">
        <is>
          <t>Not recorded</t>
        </is>
      </c>
      <c r="L58" s="34" t="inlineStr">
        <is>
          <t>Planned workstream: Black Book</t>
        </is>
      </c>
      <c r="M58" s="34" t="inlineStr">
        <is>
          <t>No task-specific issue recorded.</t>
        </is>
      </c>
      <c r="N58" s="34" t="inlineStr">
        <is>
          <t>docs/ADMITFLOW_BLACK_BOOK.md ? Chapter 2</t>
        </is>
      </c>
      <c r="O58" s="34" t="inlineStr">
        <is>
          <t>Task ID, owner and planned hours transcribed from supplied distribution. Illustrative schedule date only; no actual work date was supplied.</t>
        </is>
      </c>
      <c r="P58" s="37" t="n"/>
    </row>
    <row r="59" ht="58" customHeight="1">
      <c r="A59" s="34" t="inlineStr">
        <is>
          <t>AF-058</t>
        </is>
      </c>
      <c r="B59" s="34" t="n">
        <v>12</v>
      </c>
      <c r="C59" s="34" t="inlineStr">
        <is>
          <t>Black Book</t>
        </is>
      </c>
      <c r="D59" s="34" t="inlineStr">
        <is>
          <t>Chapter 3 ? System Design</t>
        </is>
      </c>
      <c r="E59" s="34" t="inlineStr">
        <is>
          <t>Black Book Ch. 3</t>
        </is>
      </c>
      <c r="F59" s="35" t="inlineStr">
        <is>
          <t>Samiksha</t>
        </is>
      </c>
      <c r="G59" s="36" t="n">
        <v>8</v>
      </c>
      <c r="H59" s="41" t="n">
        <v>46296</v>
      </c>
      <c r="I59" s="34" t="inlineStr">
        <is>
          <t>Not specified in supplied task-distribution image</t>
        </is>
      </c>
      <c r="J59" s="34" t="inlineStr">
        <is>
          <t>Not recorded at task level</t>
        </is>
      </c>
      <c r="K59" s="34" t="inlineStr">
        <is>
          <t>Not recorded</t>
        </is>
      </c>
      <c r="L59" s="34" t="inlineStr">
        <is>
          <t>Planned workstream: Black Book</t>
        </is>
      </c>
      <c r="M59" s="34" t="inlineStr">
        <is>
          <t>No task-specific issue recorded.</t>
        </is>
      </c>
      <c r="N59" s="34" t="inlineStr">
        <is>
          <t>docs/ADMITFLOW_BLACK_BOOK.md ? Chapter 3</t>
        </is>
      </c>
      <c r="O59" s="34" t="inlineStr">
        <is>
          <t>Task ID, owner and planned hours transcribed from supplied distribution. Illustrative schedule date only; no actual work date was supplied.</t>
        </is>
      </c>
      <c r="P59" s="37" t="n"/>
    </row>
    <row r="60" ht="58" customHeight="1">
      <c r="A60" s="34" t="inlineStr">
        <is>
          <t>AF-059</t>
        </is>
      </c>
      <c r="B60" s="34" t="n">
        <v>12</v>
      </c>
      <c r="C60" s="34" t="inlineStr">
        <is>
          <t>Black Book</t>
        </is>
      </c>
      <c r="D60" s="34" t="inlineStr">
        <is>
          <t>Chapter 4 ? Implementation &amp; Testing</t>
        </is>
      </c>
      <c r="E60" s="34" t="inlineStr">
        <is>
          <t>Black Book Ch. 4</t>
        </is>
      </c>
      <c r="F60" s="35" t="inlineStr">
        <is>
          <t>Samiksha</t>
        </is>
      </c>
      <c r="G60" s="36" t="n">
        <v>8</v>
      </c>
      <c r="H60" s="41" t="n">
        <v>46296</v>
      </c>
      <c r="I60" s="34" t="inlineStr">
        <is>
          <t>Not specified in supplied task-distribution image</t>
        </is>
      </c>
      <c r="J60" s="34" t="inlineStr">
        <is>
          <t>Not recorded at task level</t>
        </is>
      </c>
      <c r="K60" s="34" t="inlineStr">
        <is>
          <t>Not recorded</t>
        </is>
      </c>
      <c r="L60" s="34" t="inlineStr">
        <is>
          <t>Planned workstream: Black Book</t>
        </is>
      </c>
      <c r="M60" s="34" t="inlineStr">
        <is>
          <t>No task-specific issue recorded.</t>
        </is>
      </c>
      <c r="N60" s="34" t="inlineStr">
        <is>
          <t>docs/ADMITFLOW_BLACK_BOOK.md ? Chapter 4</t>
        </is>
      </c>
      <c r="O60" s="34" t="inlineStr">
        <is>
          <t>Task ID, owner and planned hours transcribed from supplied distribution. Illustrative schedule date only; no actual work date was supplied.</t>
        </is>
      </c>
      <c r="P60" s="37" t="n"/>
    </row>
    <row r="61" ht="58" customHeight="1">
      <c r="A61" s="34" t="inlineStr">
        <is>
          <t>AF-060</t>
        </is>
      </c>
      <c r="B61" s="34" t="n">
        <v>12</v>
      </c>
      <c r="C61" s="34" t="inlineStr">
        <is>
          <t>Black Book</t>
        </is>
      </c>
      <c r="D61" s="34" t="inlineStr">
        <is>
          <t>Chapter 5 ? Results &amp; Discussions</t>
        </is>
      </c>
      <c r="E61" s="34" t="inlineStr">
        <is>
          <t>Black Book Ch. 5</t>
        </is>
      </c>
      <c r="F61" s="35" t="inlineStr">
        <is>
          <t>Samiksha</t>
        </is>
      </c>
      <c r="G61" s="36" t="n">
        <v>8</v>
      </c>
      <c r="H61" s="41" t="n">
        <v>46297</v>
      </c>
      <c r="I61" s="34" t="inlineStr">
        <is>
          <t>Not specified in supplied task-distribution image</t>
        </is>
      </c>
      <c r="J61" s="34" t="inlineStr">
        <is>
          <t>Not recorded at task level</t>
        </is>
      </c>
      <c r="K61" s="34" t="inlineStr">
        <is>
          <t>Not recorded</t>
        </is>
      </c>
      <c r="L61" s="34" t="inlineStr">
        <is>
          <t>Planned workstream: Black Book</t>
        </is>
      </c>
      <c r="M61" s="34" t="inlineStr">
        <is>
          <t>No task-specific issue recorded.</t>
        </is>
      </c>
      <c r="N61" s="34" t="inlineStr">
        <is>
          <t>docs/ADMITFLOW_BLACK_BOOK.md ? Chapter 5</t>
        </is>
      </c>
      <c r="O61" s="34" t="inlineStr">
        <is>
          <t>Task ID, owner and planned hours transcribed from supplied distribution. Illustrative schedule date only; no actual work date was supplied.</t>
        </is>
      </c>
      <c r="P61" s="37" t="n"/>
    </row>
    <row r="62" ht="58" customHeight="1">
      <c r="A62" s="34" t="inlineStr">
        <is>
          <t>AF-061</t>
        </is>
      </c>
      <c r="B62" s="34" t="n">
        <v>12</v>
      </c>
      <c r="C62" s="34" t="inlineStr">
        <is>
          <t>Black Book</t>
        </is>
      </c>
      <c r="D62" s="34" t="inlineStr">
        <is>
          <t>Chapter 6 ? Conclusion &amp; Future Work</t>
        </is>
      </c>
      <c r="E62" s="34" t="inlineStr">
        <is>
          <t>Black Book Ch. 6</t>
        </is>
      </c>
      <c r="F62" s="35" t="inlineStr">
        <is>
          <t>Samiksha</t>
        </is>
      </c>
      <c r="G62" s="36" t="n">
        <v>4</v>
      </c>
      <c r="H62" s="41" t="n">
        <v>46297</v>
      </c>
      <c r="I62" s="34" t="inlineStr">
        <is>
          <t>Not specified in supplied task-distribution image</t>
        </is>
      </c>
      <c r="J62" s="34" t="inlineStr">
        <is>
          <t>Not recorded at task level</t>
        </is>
      </c>
      <c r="K62" s="34" t="inlineStr">
        <is>
          <t>Not recorded</t>
        </is>
      </c>
      <c r="L62" s="34" t="inlineStr">
        <is>
          <t>Planned workstream: Black Book</t>
        </is>
      </c>
      <c r="M62" s="34" t="inlineStr">
        <is>
          <t>No task-specific issue recorded.</t>
        </is>
      </c>
      <c r="N62" s="34" t="inlineStr">
        <is>
          <t>docs/ADMITFLOW_BLACK_BOOK.md ? Chapter 6</t>
        </is>
      </c>
      <c r="O62" s="34" t="inlineStr">
        <is>
          <t>Task ID, owner and planned hours transcribed from supplied distribution. Illustrative schedule date only; no actual work date was supplied.</t>
        </is>
      </c>
      <c r="P62" s="37" t="n"/>
    </row>
    <row r="63" ht="58" customHeight="1">
      <c r="A63" s="34" t="inlineStr">
        <is>
          <t>AF-062</t>
        </is>
      </c>
      <c r="B63" s="34" t="n">
        <v>12</v>
      </c>
      <c r="C63" s="34" t="inlineStr">
        <is>
          <t>Black Book</t>
        </is>
      </c>
      <c r="D63" s="34" t="inlineStr">
        <is>
          <t>Chapter 7 ? References</t>
        </is>
      </c>
      <c r="E63" s="34" t="inlineStr">
        <is>
          <t>Black Book Ch. 7</t>
        </is>
      </c>
      <c r="F63" s="35" t="inlineStr">
        <is>
          <t>Samiksha</t>
        </is>
      </c>
      <c r="G63" s="36" t="n">
        <v>3</v>
      </c>
      <c r="H63" s="41" t="n">
        <v>46297</v>
      </c>
      <c r="I63" s="34" t="inlineStr">
        <is>
          <t>Not specified in supplied task-distribution image</t>
        </is>
      </c>
      <c r="J63" s="34" t="inlineStr">
        <is>
          <t>Not recorded at task level</t>
        </is>
      </c>
      <c r="K63" s="34" t="inlineStr">
        <is>
          <t>Not recorded</t>
        </is>
      </c>
      <c r="L63" s="34" t="inlineStr">
        <is>
          <t>Planned workstream: Black Book</t>
        </is>
      </c>
      <c r="M63" s="34" t="inlineStr">
        <is>
          <t>No task-specific issue recorded.</t>
        </is>
      </c>
      <c r="N63" s="34" t="inlineStr">
        <is>
          <t>docs/ADMITFLOW_BLACK_BOOK.md ? Chapter 7</t>
        </is>
      </c>
      <c r="O63" s="34" t="inlineStr">
        <is>
          <t>Task ID, owner and planned hours transcribed from supplied distribution. Illustrative schedule date only; no actual work date was supplied.</t>
        </is>
      </c>
      <c r="P63" s="37" t="n"/>
    </row>
    <row r="64" ht="58" customHeight="1">
      <c r="A64" s="34" t="inlineStr">
        <is>
          <t>AF-063</t>
        </is>
      </c>
      <c r="B64" s="34" t="n">
        <v>12</v>
      </c>
      <c r="C64" s="34" t="inlineStr">
        <is>
          <t>Black Book</t>
        </is>
      </c>
      <c r="D64" s="34" t="inlineStr">
        <is>
          <t>Front matter using faculty sample</t>
        </is>
      </c>
      <c r="E64" s="34" t="inlineStr">
        <is>
          <t>Cover/certificate/abstract/etc.</t>
        </is>
      </c>
      <c r="F64" s="35" t="inlineStr">
        <is>
          <t>Samiksha</t>
        </is>
      </c>
      <c r="G64" s="36" t="n">
        <v>5</v>
      </c>
      <c r="H64" s="41" t="n">
        <v>46297</v>
      </c>
      <c r="I64" s="34" t="inlineStr">
        <is>
          <t>Not specified in supplied task-distribution image</t>
        </is>
      </c>
      <c r="J64" s="34" t="inlineStr">
        <is>
          <t>Not recorded at task level</t>
        </is>
      </c>
      <c r="K64" s="34" t="inlineStr">
        <is>
          <t>Not recorded</t>
        </is>
      </c>
      <c r="L64" s="34" t="inlineStr">
        <is>
          <t>Planned workstream: Black Book</t>
        </is>
      </c>
      <c r="M64" s="34" t="inlineStr">
        <is>
          <t>College-specific front matter and faculty template remain pending.</t>
        </is>
      </c>
      <c r="N64" s="34" t="inlineStr">
        <is>
          <t>docs/ADMITFLOW_BLACK_BOOK.md (front matter placeholders remain pending; faculty template not supplied).</t>
        </is>
      </c>
      <c r="O64" s="34" t="inlineStr">
        <is>
          <t>Task ID, owner and planned hours transcribed from supplied distribution. Illustrative schedule date only; no actual work date was supplied.</t>
        </is>
      </c>
      <c r="P64" s="37" t="n"/>
    </row>
    <row r="65" ht="58" customHeight="1">
      <c r="A65" s="34" t="inlineStr">
        <is>
          <t>AF-064</t>
        </is>
      </c>
      <c r="B65" s="34" t="n">
        <v>13</v>
      </c>
      <c r="C65" s="34" t="inlineStr">
        <is>
          <t>QA</t>
        </is>
      </c>
      <c r="D65" s="34" t="inlineStr">
        <is>
          <t>Full regression and acceptance checklist</t>
        </is>
      </c>
      <c r="E65" s="34" t="inlineStr">
        <is>
          <t>Final acceptance</t>
        </is>
      </c>
      <c r="F65" s="35" t="inlineStr">
        <is>
          <t>Both</t>
        </is>
      </c>
      <c r="G65" s="36" t="n">
        <v>6</v>
      </c>
      <c r="H65" s="41" t="n">
        <v>46297</v>
      </c>
      <c r="I65" s="34" t="inlineStr">
        <is>
          <t>Not specified in supplied task-distribution image</t>
        </is>
      </c>
      <c r="J65" s="34" t="inlineStr">
        <is>
          <t>Not recorded at task level</t>
        </is>
      </c>
      <c r="K65" s="34" t="inlineStr">
        <is>
          <t>Not recorded</t>
        </is>
      </c>
      <c r="L65" s="34" t="inlineStr">
        <is>
          <t>Planned workstream: QA</t>
        </is>
      </c>
      <c r="M65" s="34" t="inlineStr">
        <is>
          <t>No task-specific issue recorded.</t>
        </is>
      </c>
      <c r="N65" s="34" t="inlineStr">
        <is>
          <t>evidence/tests/backend_pytest.txt; evidence/tests/frontend_vitest.txt; docs/ACCEPTANCE_CRITERIA.md</t>
        </is>
      </c>
      <c r="O65" s="34" t="inlineStr">
        <is>
          <t>Task ID, owner and planned hours transcribed from supplied distribution. Illustrative schedule date only; no actual work date was supplied.</t>
        </is>
      </c>
      <c r="P65" s="37" t="n"/>
    </row>
    <row r="66" ht="58" customHeight="1">
      <c r="A66" s="34" t="inlineStr">
        <is>
          <t>AF-065</t>
        </is>
      </c>
      <c r="B66" s="34" t="n">
        <v>13</v>
      </c>
      <c r="C66" s="34" t="inlineStr">
        <is>
          <t>QA</t>
        </is>
      </c>
      <c r="D66" s="34" t="inlineStr">
        <is>
          <t>Stakeholder usability evaluation</t>
        </is>
      </c>
      <c r="E66" s="34" t="inlineStr">
        <is>
          <t>Dashboard usability</t>
        </is>
      </c>
      <c r="F66" s="35" t="inlineStr">
        <is>
          <t>Both</t>
        </is>
      </c>
      <c r="G66" s="36" t="n">
        <v>5</v>
      </c>
      <c r="H66" s="41" t="n">
        <v>46297</v>
      </c>
      <c r="I66" s="34" t="inlineStr">
        <is>
          <t>Not specified in supplied task-distribution image</t>
        </is>
      </c>
      <c r="J66" s="34" t="inlineStr">
        <is>
          <t>Not recorded at task level</t>
        </is>
      </c>
      <c r="K66" s="34" t="inlineStr">
        <is>
          <t>Not recorded</t>
        </is>
      </c>
      <c r="L66" s="34" t="inlineStr">
        <is>
          <t>Planned workstream: QA</t>
        </is>
      </c>
      <c r="M66" s="34" t="inlineStr">
        <is>
          <t>No stakeholder usability evaluation evidence was located.</t>
        </is>
      </c>
      <c r="N66" s="34" t="inlineStr">
        <is>
          <t>Not located; planned deliverable (no stakeholder usability study evidence identified).</t>
        </is>
      </c>
      <c r="O66" s="34" t="inlineStr">
        <is>
          <t>Task ID, owner and planned hours transcribed from supplied distribution. Illustrative schedule date only; no actual work date was supplied.</t>
        </is>
      </c>
      <c r="P66" s="37" t="n"/>
    </row>
    <row r="67" ht="58" customHeight="1">
      <c r="A67" s="34" t="inlineStr">
        <is>
          <t>AF-066</t>
        </is>
      </c>
      <c r="B67" s="34" t="n">
        <v>14</v>
      </c>
      <c r="C67" s="34" t="inlineStr">
        <is>
          <t>Demo</t>
        </is>
      </c>
      <c r="D67" s="34" t="inlineStr">
        <is>
          <t>5?8 minute product demo</t>
        </is>
      </c>
      <c r="E67" s="34" t="inlineStr">
        <is>
          <t>Mandatory demo</t>
        </is>
      </c>
      <c r="F67" s="35" t="inlineStr">
        <is>
          <t>Both</t>
        </is>
      </c>
      <c r="G67" s="36" t="n">
        <v>4</v>
      </c>
      <c r="H67" s="41" t="n">
        <v>46297</v>
      </c>
      <c r="I67" s="34" t="inlineStr">
        <is>
          <t>Not specified in supplied task-distribution image</t>
        </is>
      </c>
      <c r="J67" s="34" t="inlineStr">
        <is>
          <t>Not recorded at task level</t>
        </is>
      </c>
      <c r="K67" s="34" t="inlineStr">
        <is>
          <t>Not recorded</t>
        </is>
      </c>
      <c r="L67" s="34" t="inlineStr">
        <is>
          <t>Planned workstream: Demo</t>
        </is>
      </c>
      <c r="M67" s="34" t="inlineStr">
        <is>
          <t>No recorded product-demo artifact was located.</t>
        </is>
      </c>
      <c r="N67" s="34" t="inlineStr">
        <is>
          <t>Not located; planned deliverable (no recorded product-demo artifact identified).</t>
        </is>
      </c>
      <c r="O67" s="34" t="inlineStr">
        <is>
          <t>Task ID, owner and planned hours transcribed from supplied distribution. Illustrative schedule date only; no actual work date was supplied.</t>
        </is>
      </c>
      <c r="P67" s="37" t="n"/>
    </row>
    <row r="68" ht="58" customHeight="1">
      <c r="A68" s="34" t="inlineStr">
        <is>
          <t>AF-067</t>
        </is>
      </c>
      <c r="B68" s="34" t="n">
        <v>14</v>
      </c>
      <c r="C68" s="34" t="inlineStr">
        <is>
          <t>Demo</t>
        </is>
      </c>
      <c r="D68" s="34" t="inlineStr">
        <is>
          <t>Presentation and viva evidence</t>
        </is>
      </c>
      <c r="E68" s="34" t="inlineStr">
        <is>
          <t>Final presentation</t>
        </is>
      </c>
      <c r="F68" s="35" t="inlineStr">
        <is>
          <t>Both</t>
        </is>
      </c>
      <c r="G68" s="36" t="n">
        <v>5</v>
      </c>
      <c r="H68" s="41" t="n">
        <v>46297</v>
      </c>
      <c r="I68" s="34" t="inlineStr">
        <is>
          <t>Not specified in supplied task-distribution image</t>
        </is>
      </c>
      <c r="J68" s="34" t="inlineStr">
        <is>
          <t>Not recorded at task level</t>
        </is>
      </c>
      <c r="K68" s="34" t="inlineStr">
        <is>
          <t>Not recorded</t>
        </is>
      </c>
      <c r="L68" s="34" t="inlineStr">
        <is>
          <t>Planned workstream: Demo</t>
        </is>
      </c>
      <c r="M68" s="34" t="inlineStr">
        <is>
          <t>No presentation artifact was located.</t>
        </is>
      </c>
      <c r="N68" s="34" t="inlineStr">
        <is>
          <t>Not located; planned deliverable (no presentation evidence located).</t>
        </is>
      </c>
      <c r="O68" s="34" t="inlineStr">
        <is>
          <t>Task ID, owner and planned hours transcribed from supplied distribution. Illustrative schedule date only; no actual work date was supplied.</t>
        </is>
      </c>
      <c r="P68" s="37" t="n"/>
    </row>
    <row r="69" ht="58" customHeight="1">
      <c r="A69" s="34" t="inlineStr">
        <is>
          <t>AF-068</t>
        </is>
      </c>
      <c r="B69" s="34" t="n">
        <v>15</v>
      </c>
      <c r="C69" s="34" t="inlineStr">
        <is>
          <t>Final</t>
        </is>
      </c>
      <c r="D69" s="34" t="inlineStr">
        <is>
          <t>Finalize actual contribution evidence and logs</t>
        </is>
      </c>
      <c r="E69" s="34" t="inlineStr">
        <is>
          <t>Individual ownership</t>
        </is>
      </c>
      <c r="F69" s="35" t="inlineStr">
        <is>
          <t>Both</t>
        </is>
      </c>
      <c r="G69" s="36" t="n">
        <v>4</v>
      </c>
      <c r="H69" s="41" t="n">
        <v>46298</v>
      </c>
      <c r="I69" s="34" t="inlineStr">
        <is>
          <t>Not specified in supplied task-distribution image</t>
        </is>
      </c>
      <c r="J69" s="34" t="inlineStr">
        <is>
          <t>Not recorded at task level</t>
        </is>
      </c>
      <c r="K69" s="34" t="inlineStr">
        <is>
          <t>Not recorded</t>
        </is>
      </c>
      <c r="L69" s="34" t="inlineStr">
        <is>
          <t>Planned workstream: Final</t>
        </is>
      </c>
      <c r="M69" s="34" t="inlineStr">
        <is>
          <t>Individual task contributions and actual work logs are not recorded.</t>
        </is>
      </c>
      <c r="N69" s="34" t="inlineStr">
        <is>
          <t>Not recorded; individual contribution logs and actual hours were not supplied.</t>
        </is>
      </c>
      <c r="O69" s="34" t="inlineStr">
        <is>
          <t>Task ID, owner and planned hours transcribed from supplied distribution. Illustrative schedule date only; no actual work date was supplied.</t>
        </is>
      </c>
      <c r="P69" s="37" t="n"/>
    </row>
  </sheetData>
  <autoFilter ref="A1:Q69"/>
  <printOptions horizontalCentered="0"/>
  <pageMargins left="0.25" right="0.25" top="0.5" bottom="0.5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17324D"/>
    <outlinePr summaryBelow="1" summaryRight="1"/>
    <pageSetUpPr fitToPage="1"/>
  </sheetPr>
  <dimension ref="A1:I16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21"/>
  <cols>
    <col width="13" customWidth="1" min="1" max="1"/>
    <col width="20" customWidth="1" min="2" max="2"/>
    <col width="62" customWidth="1" min="3" max="3"/>
    <col width="16" customWidth="1" min="4" max="4"/>
    <col width="13" customWidth="1" min="5" max="5"/>
    <col width="24" customWidth="1" min="6" max="6"/>
    <col width="20" customWidth="1" min="7" max="7"/>
    <col width="43" customWidth="1" min="8" max="8"/>
    <col width="70" customWidth="1" min="9" max="9"/>
    <col width="38" customWidth="1" min="10" max="10"/>
  </cols>
  <sheetData>
    <row r="1" ht="34" customHeight="1">
      <c r="A1" s="38" t="inlineStr">
        <is>
          <t>Phase Order</t>
        </is>
      </c>
      <c r="B1" s="38" t="inlineStr">
        <is>
          <t>Phase</t>
        </is>
      </c>
      <c r="C1" s="38" t="inlineStr">
        <is>
          <t>Task IDs</t>
        </is>
      </c>
      <c r="D1" s="38" t="inlineStr">
        <is>
          <t>Planned Hours</t>
        </is>
      </c>
      <c r="E1" s="38" t="inlineStr">
        <is>
          <t>Task Count</t>
        </is>
      </c>
      <c r="F1" s="38" t="inlineStr">
        <is>
          <t>Illustrative Planned Date</t>
        </is>
      </c>
      <c r="G1" s="38" t="inlineStr">
        <is>
          <t>Dependencies</t>
        </is>
      </c>
      <c r="H1" s="38" t="inlineStr">
        <is>
          <t>Timeline Basis / Notes</t>
        </is>
      </c>
      <c r="I1" s="38" t="inlineStr">
        <is>
          <t>Status</t>
        </is>
      </c>
    </row>
    <row r="2" ht="45" customHeight="1">
      <c r="A2" s="34" t="n">
        <v>1</v>
      </c>
      <c r="B2" s="34" t="inlineStr">
        <is>
          <t>Foundation</t>
        </is>
      </c>
      <c r="C2" s="34" t="inlineStr">
        <is>
          <t>AF-001, AF-002</t>
        </is>
      </c>
      <c r="D2" s="34">
        <f>SUMIF('Master Tracker'!$B$2:$B$69,A2,'Master Tracker'!$G$2:$G$69)</f>
        <v/>
      </c>
      <c r="E2" s="34">
        <f>COUNTIF('Master Tracker'!$B$2:$B$69,A2)</f>
        <v/>
      </c>
      <c r="F2" s="41" t="n">
        <v>46290</v>
      </c>
      <c r="G2" s="34" t="inlineStr">
        <is>
          <t>Not specified in supplied plan</t>
        </is>
      </c>
      <c r="H2" s="34" t="inlineStr">
        <is>
          <t>Illustrative phase ordering only; actual dependencies were not supplied.</t>
        </is>
      </c>
      <c r="I2" s="34" t="inlineStr">
        <is>
          <t>Planned; task-level status not recorded</t>
        </is>
      </c>
    </row>
    <row r="3" ht="45" customHeight="1">
      <c r="A3" s="34" t="n">
        <v>2</v>
      </c>
      <c r="B3" s="34" t="inlineStr">
        <is>
          <t>Planning</t>
        </is>
      </c>
      <c r="C3" s="34" t="inlineStr">
        <is>
          <t>AF-003, AF-004</t>
        </is>
      </c>
      <c r="D3" s="34">
        <f>SUMIF('Master Tracker'!$B$2:$B$69,A3,'Master Tracker'!$G$2:$G$69)</f>
        <v/>
      </c>
      <c r="E3" s="34">
        <f>COUNTIF('Master Tracker'!$B$2:$B$69,A3)</f>
        <v/>
      </c>
      <c r="F3" s="41" t="n">
        <v>46290</v>
      </c>
      <c r="G3" s="34" t="inlineStr">
        <is>
          <t>Not specified in supplied plan</t>
        </is>
      </c>
      <c r="H3" s="34" t="inlineStr">
        <is>
          <t>Illustrative phase ordering only; actual dependencies were not supplied.</t>
        </is>
      </c>
      <c r="I3" s="34" t="inlineStr">
        <is>
          <t>Planned; task-level status not recorded</t>
        </is>
      </c>
    </row>
    <row r="4" ht="45" customHeight="1">
      <c r="A4" s="34" t="n">
        <v>3</v>
      </c>
      <c r="B4" s="34" t="inlineStr">
        <is>
          <t>Requirements</t>
        </is>
      </c>
      <c r="C4" s="34" t="inlineStr">
        <is>
          <t>AF-005, AF-006, AF-007</t>
        </is>
      </c>
      <c r="D4" s="34">
        <f>SUMIF('Master Tracker'!$B$2:$B$69,A4,'Master Tracker'!$G$2:$G$69)</f>
        <v/>
      </c>
      <c r="E4" s="34">
        <f>COUNTIF('Master Tracker'!$B$2:$B$69,A4)</f>
        <v/>
      </c>
      <c r="F4" s="41" t="n">
        <v>46290</v>
      </c>
      <c r="G4" s="34" t="inlineStr">
        <is>
          <t>Not specified in supplied plan</t>
        </is>
      </c>
      <c r="H4" s="34" t="inlineStr">
        <is>
          <t>Illustrative phase ordering only; actual dependencies were not supplied.</t>
        </is>
      </c>
      <c r="I4" s="34" t="inlineStr">
        <is>
          <t>Planned; task-level status not recorded</t>
        </is>
      </c>
    </row>
    <row r="5" ht="45" customHeight="1">
      <c r="A5" s="34" t="n">
        <v>4</v>
      </c>
      <c r="B5" s="34" t="inlineStr">
        <is>
          <t>Data</t>
        </is>
      </c>
      <c r="C5" s="34" t="inlineStr">
        <is>
          <t>AF-008, AF-009, AF-010, AF-011</t>
        </is>
      </c>
      <c r="D5" s="34">
        <f>SUMIF('Master Tracker'!$B$2:$B$69,A5,'Master Tracker'!$G$2:$G$69)</f>
        <v/>
      </c>
      <c r="E5" s="34">
        <f>COUNTIF('Master Tracker'!$B$2:$B$69,A5)</f>
        <v/>
      </c>
      <c r="F5" s="41" t="n">
        <v>46290</v>
      </c>
      <c r="G5" s="34" t="inlineStr">
        <is>
          <t>Not specified in supplied plan</t>
        </is>
      </c>
      <c r="H5" s="34" t="inlineStr">
        <is>
          <t>Illustrative phase ordering only; actual dependencies were not supplied.</t>
        </is>
      </c>
      <c r="I5" s="34" t="inlineStr">
        <is>
          <t>Planned; task-level status not recorded</t>
        </is>
      </c>
    </row>
    <row r="6" ht="45" customHeight="1">
      <c r="A6" s="34" t="n">
        <v>5</v>
      </c>
      <c r="B6" s="34" t="inlineStr">
        <is>
          <t>Analytics</t>
        </is>
      </c>
      <c r="C6" s="34" t="inlineStr">
        <is>
          <t>AF-012, AF-013, AF-014</t>
        </is>
      </c>
      <c r="D6" s="34">
        <f>SUMIF('Master Tracker'!$B$2:$B$69,A6,'Master Tracker'!$G$2:$G$69)</f>
        <v/>
      </c>
      <c r="E6" s="34">
        <f>COUNTIF('Master Tracker'!$B$2:$B$69,A6)</f>
        <v/>
      </c>
      <c r="F6" s="41" t="n">
        <v>46291</v>
      </c>
      <c r="G6" s="34" t="inlineStr">
        <is>
          <t>Not specified in supplied plan</t>
        </is>
      </c>
      <c r="H6" s="34" t="inlineStr">
        <is>
          <t>Illustrative phase ordering only; actual dependencies were not supplied.</t>
        </is>
      </c>
      <c r="I6" s="34" t="inlineStr">
        <is>
          <t>Planned; task-level status not recorded</t>
        </is>
      </c>
    </row>
    <row r="7" ht="45" customHeight="1">
      <c r="A7" s="34" t="n">
        <v>6</v>
      </c>
      <c r="B7" s="34" t="inlineStr">
        <is>
          <t>ML</t>
        </is>
      </c>
      <c r="C7" s="34" t="inlineStr">
        <is>
          <t>AF-015, AF-016, AF-017, AF-018, AF-019, AF-020</t>
        </is>
      </c>
      <c r="D7" s="34">
        <f>SUMIF('Master Tracker'!$B$2:$B$69,A7,'Master Tracker'!$G$2:$G$69)</f>
        <v/>
      </c>
      <c r="E7" s="34">
        <f>COUNTIF('Master Tracker'!$B$2:$B$69,A7)</f>
        <v/>
      </c>
      <c r="F7" s="41" t="n">
        <v>46291</v>
      </c>
      <c r="G7" s="34" t="inlineStr">
        <is>
          <t>Not specified in supplied plan</t>
        </is>
      </c>
      <c r="H7" s="34" t="inlineStr">
        <is>
          <t>Illustrative phase ordering only; actual dependencies were not supplied.</t>
        </is>
      </c>
      <c r="I7" s="34" t="inlineStr">
        <is>
          <t>Planned; task-level status not recorded</t>
        </is>
      </c>
    </row>
    <row r="8" ht="45" customHeight="1">
      <c r="A8" s="34" t="n">
        <v>7</v>
      </c>
      <c r="B8" s="34" t="inlineStr">
        <is>
          <t>Backend</t>
        </is>
      </c>
      <c r="C8" s="34" t="inlineStr">
        <is>
          <t>AF-021, AF-022, AF-023, AF-024, AF-025</t>
        </is>
      </c>
      <c r="D8" s="34">
        <f>SUMIF('Master Tracker'!$B$2:$B$69,A8,'Master Tracker'!$G$2:$G$69)</f>
        <v/>
      </c>
      <c r="E8" s="34">
        <f>COUNTIF('Master Tracker'!$B$2:$B$69,A8)</f>
        <v/>
      </c>
      <c r="F8" s="41" t="n">
        <v>46292</v>
      </c>
      <c r="G8" s="34" t="inlineStr">
        <is>
          <t>Not specified in supplied plan</t>
        </is>
      </c>
      <c r="H8" s="34" t="inlineStr">
        <is>
          <t>Illustrative phase ordering only; actual dependencies were not supplied.</t>
        </is>
      </c>
      <c r="I8" s="34" t="inlineStr">
        <is>
          <t>Planned; task-level status not recorded</t>
        </is>
      </c>
    </row>
    <row r="9" ht="45" customHeight="1">
      <c r="A9" s="34" t="n">
        <v>8</v>
      </c>
      <c r="B9" s="34" t="inlineStr">
        <is>
          <t>Frontend</t>
        </is>
      </c>
      <c r="C9" s="34" t="inlineStr">
        <is>
          <t>AF-026, AF-027, AF-028, AF-029, AF-030, AF-031, AF-032, AF-033, AF-034, AF-035, AF-036</t>
        </is>
      </c>
      <c r="D9" s="34">
        <f>SUMIF('Master Tracker'!$B$2:$B$69,A9,'Master Tracker'!$G$2:$G$69)</f>
        <v/>
      </c>
      <c r="E9" s="34">
        <f>COUNTIF('Master Tracker'!$B$2:$B$69,A9)</f>
        <v/>
      </c>
      <c r="F9" s="41" t="n">
        <v>46292</v>
      </c>
      <c r="G9" s="34" t="inlineStr">
        <is>
          <t>Not specified in supplied plan</t>
        </is>
      </c>
      <c r="H9" s="34" t="inlineStr">
        <is>
          <t>Illustrative phase ordering only; actual dependencies were not supplied.</t>
        </is>
      </c>
      <c r="I9" s="34" t="inlineStr">
        <is>
          <t>Planned; task-level status not recorded</t>
        </is>
      </c>
    </row>
    <row r="10" ht="45" customHeight="1">
      <c r="A10" s="34" t="n">
        <v>9</v>
      </c>
      <c r="B10" s="34" t="inlineStr">
        <is>
          <t>Engineering</t>
        </is>
      </c>
      <c r="C10" s="34" t="inlineStr">
        <is>
          <t>AF-037, AF-038, AF-039, AF-040, AF-041, AF-042, AF-043</t>
        </is>
      </c>
      <c r="D10" s="34">
        <f>SUMIF('Master Tracker'!$B$2:$B$69,A10,'Master Tracker'!$G$2:$G$69)</f>
        <v/>
      </c>
      <c r="E10" s="34">
        <f>COUNTIF('Master Tracker'!$B$2:$B$69,A10)</f>
        <v/>
      </c>
      <c r="F10" s="41" t="n">
        <v>46294</v>
      </c>
      <c r="G10" s="34" t="inlineStr">
        <is>
          <t>Not specified in supplied plan</t>
        </is>
      </c>
      <c r="H10" s="34" t="inlineStr">
        <is>
          <t>Illustrative phase ordering only; actual dependencies were not supplied.</t>
        </is>
      </c>
      <c r="I10" s="34" t="inlineStr">
        <is>
          <t>Planned; task-level status not recorded</t>
        </is>
      </c>
    </row>
    <row r="11" ht="45" customHeight="1">
      <c r="A11" s="34" t="n">
        <v>10</v>
      </c>
      <c r="B11" s="34" t="inlineStr">
        <is>
          <t>Deployment</t>
        </is>
      </c>
      <c r="C11" s="34" t="inlineStr">
        <is>
          <t>AF-044, AF-045</t>
        </is>
      </c>
      <c r="D11" s="34">
        <f>SUMIF('Master Tracker'!$B$2:$B$69,A11,'Master Tracker'!$G$2:$G$69)</f>
        <v/>
      </c>
      <c r="E11" s="34">
        <f>COUNTIF('Master Tracker'!$B$2:$B$69,A11)</f>
        <v/>
      </c>
      <c r="F11" s="41" t="n">
        <v>46295</v>
      </c>
      <c r="G11" s="34" t="inlineStr">
        <is>
          <t>Not specified in supplied plan</t>
        </is>
      </c>
      <c r="H11" s="34" t="inlineStr">
        <is>
          <t>Illustrative phase ordering only; actual dependencies were not supplied.</t>
        </is>
      </c>
      <c r="I11" s="34" t="inlineStr">
        <is>
          <t>Planned; task-level status not recorded</t>
        </is>
      </c>
    </row>
    <row r="12" ht="45" customHeight="1">
      <c r="A12" s="34" t="n">
        <v>11</v>
      </c>
      <c r="B12" s="34" t="inlineStr">
        <is>
          <t>Documentation</t>
        </is>
      </c>
      <c r="C12" s="34" t="inlineStr">
        <is>
          <t>AF-046, AF-047, AF-048, AF-049, AF-050, AF-051, AF-052, AF-053, AF-054, AF-055</t>
        </is>
      </c>
      <c r="D12" s="34">
        <f>SUMIF('Master Tracker'!$B$2:$B$69,A12,'Master Tracker'!$G$2:$G$69)</f>
        <v/>
      </c>
      <c r="E12" s="34">
        <f>COUNTIF('Master Tracker'!$B$2:$B$69,A12)</f>
        <v/>
      </c>
      <c r="F12" s="41" t="n">
        <v>46295</v>
      </c>
      <c r="G12" s="34" t="inlineStr">
        <is>
          <t>Not specified in supplied plan</t>
        </is>
      </c>
      <c r="H12" s="34" t="inlineStr">
        <is>
          <t>Illustrative phase ordering only; actual dependencies were not supplied.</t>
        </is>
      </c>
      <c r="I12" s="34" t="inlineStr">
        <is>
          <t>Planned; task-level status not recorded</t>
        </is>
      </c>
    </row>
    <row r="13" ht="45" customHeight="1">
      <c r="A13" s="34" t="n">
        <v>12</v>
      </c>
      <c r="B13" s="34" t="inlineStr">
        <is>
          <t>Black Book</t>
        </is>
      </c>
      <c r="C13" s="34" t="inlineStr">
        <is>
          <t>AF-056, AF-057, AF-058, AF-059, AF-060, AF-061, AF-062, AF-063</t>
        </is>
      </c>
      <c r="D13" s="34">
        <f>SUMIF('Master Tracker'!$B$2:$B$69,A13,'Master Tracker'!$G$2:$G$69)</f>
        <v/>
      </c>
      <c r="E13" s="34">
        <f>COUNTIF('Master Tracker'!$B$2:$B$69,A13)</f>
        <v/>
      </c>
      <c r="F13" s="41" t="n">
        <v>46296</v>
      </c>
      <c r="G13" s="34" t="inlineStr">
        <is>
          <t>Not specified in supplied plan</t>
        </is>
      </c>
      <c r="H13" s="34" t="inlineStr">
        <is>
          <t>Illustrative phase ordering only; actual dependencies were not supplied.</t>
        </is>
      </c>
      <c r="I13" s="34" t="inlineStr">
        <is>
          <t>Planned; task-level status not recorded</t>
        </is>
      </c>
    </row>
    <row r="14" ht="45" customHeight="1">
      <c r="A14" s="34" t="n">
        <v>13</v>
      </c>
      <c r="B14" s="34" t="inlineStr">
        <is>
          <t>QA</t>
        </is>
      </c>
      <c r="C14" s="34" t="inlineStr">
        <is>
          <t>AF-064, AF-065</t>
        </is>
      </c>
      <c r="D14" s="34">
        <f>SUMIF('Master Tracker'!$B$2:$B$69,A14,'Master Tracker'!$G$2:$G$69)</f>
        <v/>
      </c>
      <c r="E14" s="34">
        <f>COUNTIF('Master Tracker'!$B$2:$B$69,A14)</f>
        <v/>
      </c>
      <c r="F14" s="41" t="n">
        <v>46297</v>
      </c>
      <c r="G14" s="34" t="inlineStr">
        <is>
          <t>Not specified in supplied plan</t>
        </is>
      </c>
      <c r="H14" s="34" t="inlineStr">
        <is>
          <t>Illustrative phase ordering only; actual dependencies were not supplied.</t>
        </is>
      </c>
      <c r="I14" s="34" t="inlineStr">
        <is>
          <t>Planned; task-level status not recorded</t>
        </is>
      </c>
    </row>
    <row r="15" ht="45" customHeight="1">
      <c r="A15" s="34" t="n">
        <v>14</v>
      </c>
      <c r="B15" s="34" t="inlineStr">
        <is>
          <t>Demo</t>
        </is>
      </c>
      <c r="C15" s="34" t="inlineStr">
        <is>
          <t>AF-066, AF-067</t>
        </is>
      </c>
      <c r="D15" s="34">
        <f>SUMIF('Master Tracker'!$B$2:$B$69,A15,'Master Tracker'!$G$2:$G$69)</f>
        <v/>
      </c>
      <c r="E15" s="34">
        <f>COUNTIF('Master Tracker'!$B$2:$B$69,A15)</f>
        <v/>
      </c>
      <c r="F15" s="41" t="n">
        <v>46297</v>
      </c>
      <c r="G15" s="34" t="inlineStr">
        <is>
          <t>Not specified in supplied plan</t>
        </is>
      </c>
      <c r="H15" s="34" t="inlineStr">
        <is>
          <t>Illustrative phase ordering only; actual dependencies were not supplied.</t>
        </is>
      </c>
      <c r="I15" s="34" t="inlineStr">
        <is>
          <t>Planned; task-level status not recorded</t>
        </is>
      </c>
    </row>
    <row r="16" ht="45" customHeight="1">
      <c r="A16" s="34" t="n">
        <v>15</v>
      </c>
      <c r="B16" s="34" t="inlineStr">
        <is>
          <t>Final</t>
        </is>
      </c>
      <c r="C16" s="34" t="inlineStr">
        <is>
          <t>AF-068</t>
        </is>
      </c>
      <c r="D16" s="34">
        <f>SUMIF('Master Tracker'!$B$2:$B$69,A16,'Master Tracker'!$G$2:$G$69)</f>
        <v/>
      </c>
      <c r="E16" s="34">
        <f>COUNTIF('Master Tracker'!$B$2:$B$69,A16)</f>
        <v/>
      </c>
      <c r="F16" s="41" t="n">
        <v>46298</v>
      </c>
      <c r="G16" s="34" t="inlineStr">
        <is>
          <t>Not specified in supplied plan</t>
        </is>
      </c>
      <c r="H16" s="34" t="inlineStr">
        <is>
          <t>Illustrative phase ordering only; actual dependencies were not supplied.</t>
        </is>
      </c>
      <c r="I16" s="34" t="inlineStr">
        <is>
          <t>Planned; task-level status not recorded</t>
        </is>
      </c>
    </row>
  </sheetData>
  <autoFilter ref="A1:J9"/>
  <printOptions horizontalCentered="0"/>
  <pageMargins left="0.25" right="0.25" top="0.5" bottom="0.5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17324D"/>
    <outlinePr summaryBelow="1" summaryRight="1"/>
    <pageSetUpPr fitToPage="1"/>
  </sheetPr>
  <dimension ref="A1:G2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21"/>
  <cols>
    <col width="16" customWidth="1" min="1" max="1"/>
    <col width="14" customWidth="1" min="2" max="2"/>
    <col width="42" customWidth="1" min="3" max="3"/>
    <col width="42" customWidth="1" min="4" max="4"/>
    <col width="16" customWidth="1" min="5" max="5"/>
    <col width="38" customWidth="1" min="6" max="6"/>
    <col width="58" customWidth="1" min="7" max="7"/>
  </cols>
  <sheetData>
    <row r="1" ht="34" customHeight="1">
      <c r="A1" s="13" t="inlineStr">
        <is>
          <t>Date</t>
        </is>
      </c>
      <c r="B1" s="13" t="inlineStr">
        <is>
          <t>Task ID</t>
        </is>
      </c>
      <c r="C1" s="13" t="inlineStr">
        <is>
          <t>Owner / Actor</t>
        </is>
      </c>
      <c r="D1" s="13" t="inlineStr">
        <is>
          <t>Activity</t>
        </is>
      </c>
      <c r="E1" s="13" t="inlineStr">
        <is>
          <t>Actual Hours</t>
        </is>
      </c>
      <c r="F1" s="13" t="inlineStr">
        <is>
          <t>Evidence</t>
        </is>
      </c>
      <c r="G1" s="13" t="inlineStr">
        <is>
          <t>Outcome</t>
        </is>
      </c>
    </row>
    <row r="2" ht="48" customHeight="1">
      <c r="A2" s="20" t="n">
        <v>46297</v>
      </c>
      <c r="B2" s="14" t="inlineStr">
        <is>
          <t>CLOSEOUT</t>
        </is>
      </c>
      <c r="C2" s="14" t="inlineStr">
        <is>
          <t>Automated local run (student task split not identified)</t>
        </is>
      </c>
      <c r="D2" s="14" t="inlineStr">
        <is>
          <t>Final local verification and evidence capture</t>
        </is>
      </c>
      <c r="E2" s="19" t="n"/>
      <c r="F2" s="14" t="inlineStr">
        <is>
          <t>docs/FINAL_VERIFICATION.md</t>
        </is>
      </c>
      <c r="G2" s="14" t="inlineStr">
        <is>
          <t>Automated checks pass; model limitations recorded.</t>
        </is>
      </c>
    </row>
  </sheetData>
  <autoFilter ref="A1:G2"/>
  <printOptions horizontalCentered="0"/>
  <pageMargins left="0.25" right="0.25" top="0.5" bottom="0.5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17324D"/>
    <outlinePr summaryBelow="1" summaryRight="1"/>
    <pageSetUpPr fitToPage="1"/>
  </sheetPr>
  <dimension ref="A1:I17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21"/>
  <cols>
    <col width="13" customWidth="1" min="1" max="1"/>
    <col width="18" customWidth="1" min="2" max="2"/>
    <col width="58" customWidth="1" min="3" max="3"/>
    <col width="20" customWidth="1" min="4" max="4"/>
    <col width="34" customWidth="1" min="5" max="5"/>
    <col width="82" customWidth="1" min="6" max="6"/>
    <col width="27" customWidth="1" min="7" max="7"/>
    <col width="28" customWidth="1" min="8" max="8"/>
    <col width="76" customWidth="1" min="9" max="9"/>
  </cols>
  <sheetData>
    <row r="1" ht="34" customHeight="1">
      <c r="A1" s="38" t="inlineStr">
        <is>
          <t>Evidence ID</t>
        </is>
      </c>
      <c r="B1" s="38" t="inlineStr">
        <is>
          <t>Date</t>
        </is>
      </c>
      <c r="C1" s="38" t="inlineStr">
        <is>
          <t>Task ID(s)</t>
        </is>
      </c>
      <c r="D1" s="38" t="inlineStr">
        <is>
          <t>Evidence Type</t>
        </is>
      </c>
      <c r="E1" s="38" t="inlineStr">
        <is>
          <t>Description</t>
        </is>
      </c>
      <c r="F1" s="38" t="inlineStr">
        <is>
          <t>File Path</t>
        </is>
      </c>
      <c r="G1" s="38" t="inlineStr">
        <is>
          <t>Result</t>
        </is>
      </c>
      <c r="H1" s="38" t="inlineStr">
        <is>
          <t>Verified By / Source</t>
        </is>
      </c>
      <c r="I1" s="38" t="inlineStr">
        <is>
          <t>Notes</t>
        </is>
      </c>
    </row>
    <row r="2" ht="50" customHeight="1">
      <c r="A2" s="34" t="inlineStr">
        <is>
          <t>AF-E01</t>
        </is>
      </c>
      <c r="B2" s="39" t="n">
        <v>46297</v>
      </c>
      <c r="C2" s="34" t="inlineStr">
        <is>
          <t>AF-011</t>
        </is>
      </c>
      <c r="D2" s="34" t="inlineStr">
        <is>
          <t>Execution artifact</t>
        </is>
      </c>
      <c r="E2" s="34" t="inlineStr">
        <is>
          <t>Dataset validation</t>
        </is>
      </c>
      <c r="F2" s="34" t="inlineStr">
        <is>
          <t>evidence/dataset/validation_report.json</t>
        </is>
      </c>
      <c r="G2" s="34" t="inlineStr">
        <is>
          <t>PASS</t>
        </is>
      </c>
      <c r="H2" s="34" t="inlineStr">
        <is>
          <t>Automated local run</t>
        </is>
      </c>
      <c r="I2" s="34" t="inlineStr">
        <is>
          <t>4,200 rows; no validation issues.</t>
        </is>
      </c>
    </row>
    <row r="3" ht="50" customHeight="1">
      <c r="A3" s="34" t="inlineStr">
        <is>
          <t>AF-E02</t>
        </is>
      </c>
      <c r="B3" s="39" t="n">
        <v>46297</v>
      </c>
      <c r="C3" s="34" t="inlineStr">
        <is>
          <t>AF-012; AF-013; AF-014</t>
        </is>
      </c>
      <c r="D3" s="34" t="inlineStr">
        <is>
          <t>Execution artifact</t>
        </is>
      </c>
      <c r="E3" s="34" t="inlineStr">
        <is>
          <t>Analytics report</t>
        </is>
      </c>
      <c r="F3" s="34" t="inlineStr">
        <is>
          <t>evidence/metrics/analytics_report.json</t>
        </is>
      </c>
      <c r="G3" s="34" t="inlineStr">
        <is>
          <t>PASS</t>
        </is>
      </c>
      <c r="H3" s="34" t="inlineStr">
        <is>
          <t>Automated local run</t>
        </is>
      </c>
      <c r="I3" s="34" t="inlineStr">
        <is>
          <t>Funnel, cohorts, programme and attribution outputs.</t>
        </is>
      </c>
    </row>
    <row r="4" ht="50" customHeight="1">
      <c r="A4" s="34" t="inlineStr">
        <is>
          <t>AF-E03</t>
        </is>
      </c>
      <c r="B4" s="39" t="n">
        <v>46297</v>
      </c>
      <c r="C4" s="34" t="inlineStr">
        <is>
          <t>AF-016; AF-017; AF-018; AF-020</t>
        </is>
      </c>
      <c r="D4" s="34" t="inlineStr">
        <is>
          <t>Execution artifact</t>
        </is>
      </c>
      <c r="E4" s="34" t="inlineStr">
        <is>
          <t>Model report and artifact</t>
        </is>
      </c>
      <c r="F4" s="34" t="inlineStr">
        <is>
          <t>evidence/models/model_report.json; evidence/models/admitflow_model.joblib</t>
        </is>
      </c>
      <c r="G4" s="34" t="inlineStr">
        <is>
          <t>GENERATED WITH LIMITATIONS</t>
        </is>
      </c>
      <c r="H4" s="34" t="inlineStr">
        <is>
          <t>Automated local run</t>
        </is>
      </c>
      <c r="I4" s="34" t="inlineStr">
        <is>
          <t>Random forest predicts no positives at threshold 0.5; not decision-ready.</t>
        </is>
      </c>
    </row>
    <row r="5" ht="50" customHeight="1">
      <c r="A5" s="34" t="inlineStr">
        <is>
          <t>AF-E04</t>
        </is>
      </c>
      <c r="B5" s="39" t="n">
        <v>46297</v>
      </c>
      <c r="C5" s="34" t="inlineStr">
        <is>
          <t>AF-015; AF-019; AF-023</t>
        </is>
      </c>
      <c r="D5" s="34" t="inlineStr">
        <is>
          <t>Execution artifact</t>
        </is>
      </c>
      <c r="E5" s="34" t="inlineStr">
        <is>
          <t>Forecast report</t>
        </is>
      </c>
      <c r="F5" s="34" t="inlineStr">
        <is>
          <t>evidence/metrics/forecast_report.json</t>
        </is>
      </c>
      <c r="G5" s="34" t="inlineStr">
        <is>
          <t>PASS WITH LIMITATIONS</t>
        </is>
      </c>
      <c r="H5" s="34" t="inlineStr">
        <is>
          <t>Automated local run</t>
        </is>
      </c>
      <c r="I5" s="34" t="inlineStr">
        <is>
          <t>Two-year holdout over six annual observations.</t>
        </is>
      </c>
    </row>
    <row r="6" ht="50" customHeight="1">
      <c r="A6" s="34" t="inlineStr">
        <is>
          <t>AF-E05</t>
        </is>
      </c>
      <c r="B6" s="39" t="n">
        <v>46297</v>
      </c>
      <c r="C6" s="34" t="inlineStr">
        <is>
          <t>AF-024; AF-031</t>
        </is>
      </c>
      <c r="D6" s="34" t="inlineStr">
        <is>
          <t>Execution artifact</t>
        </is>
      </c>
      <c r="E6" s="34" t="inlineStr">
        <is>
          <t>Scenario report</t>
        </is>
      </c>
      <c r="F6" s="34" t="inlineStr">
        <is>
          <t>evidence/metrics/scenario_report.json</t>
        </is>
      </c>
      <c r="G6" s="34" t="inlineStr">
        <is>
          <t>PASS</t>
        </is>
      </c>
      <c r="H6" s="34" t="inlineStr">
        <is>
          <t>Automated local run</t>
        </is>
      </c>
      <c r="I6" s="34" t="inlineStr">
        <is>
          <t>Deterministic scenario output.</t>
        </is>
      </c>
    </row>
    <row r="7" ht="50" customHeight="1">
      <c r="A7" s="34" t="inlineStr">
        <is>
          <t>AF-E06</t>
        </is>
      </c>
      <c r="B7" s="39" t="n">
        <v>46297</v>
      </c>
      <c r="C7" s="34" t="inlineStr">
        <is>
          <t>AF-021; AF-022; AF-023; AF-024; AF-025; AF-038</t>
        </is>
      </c>
      <c r="D7" s="34" t="inlineStr">
        <is>
          <t>Execution artifact</t>
        </is>
      </c>
      <c r="E7" s="34" t="inlineStr">
        <is>
          <t>API smoke report</t>
        </is>
      </c>
      <c r="F7" s="34" t="inlineStr">
        <is>
          <t>evidence/api/api_smoke.json</t>
        </is>
      </c>
      <c r="G7" s="34" t="inlineStr">
        <is>
          <t>PASS</t>
        </is>
      </c>
      <c r="H7" s="34" t="inlineStr">
        <is>
          <t>Automated local run</t>
        </is>
      </c>
      <c r="I7" s="34" t="inlineStr">
        <is>
          <t>10 protected API operations returned successfully.</t>
        </is>
      </c>
    </row>
    <row r="8" ht="50" customHeight="1">
      <c r="A8" s="34" t="inlineStr">
        <is>
          <t>AF-E07</t>
        </is>
      </c>
      <c r="B8" s="39" t="n">
        <v>46297</v>
      </c>
      <c r="C8" s="34" t="inlineStr">
        <is>
          <t>AF-022; AF-040</t>
        </is>
      </c>
      <c r="D8" s="34" t="inlineStr">
        <is>
          <t>Execution artifact</t>
        </is>
      </c>
      <c r="E8" s="34" t="inlineStr">
        <is>
          <t>Auth boundary report</t>
        </is>
      </c>
      <c r="F8" s="34" t="inlineStr">
        <is>
          <t>evidence/security/auth_check.json</t>
        </is>
      </c>
      <c r="G8" s="34" t="inlineStr">
        <is>
          <t>PASS</t>
        </is>
      </c>
      <c r="H8" s="34" t="inlineStr">
        <is>
          <t>Automated local run</t>
        </is>
      </c>
      <c r="I8" s="34" t="inlineStr">
        <is>
          <t>401 without token; secrets omitted.</t>
        </is>
      </c>
    </row>
    <row r="9" ht="50" customHeight="1">
      <c r="A9" s="34" t="inlineStr">
        <is>
          <t>AF-E08</t>
        </is>
      </c>
      <c r="B9" s="39" t="n">
        <v>46297</v>
      </c>
      <c r="C9" s="34" t="inlineStr">
        <is>
          <t>AF-026; AF-027</t>
        </is>
      </c>
      <c r="D9" s="34" t="inlineStr">
        <is>
          <t>Screenshot</t>
        </is>
      </c>
      <c r="E9" s="34" t="inlineStr">
        <is>
          <t>Desktop dashboard</t>
        </is>
      </c>
      <c r="F9" s="34" t="inlineStr">
        <is>
          <t>evidence/screenshots/dashboard.png</t>
        </is>
      </c>
      <c r="G9" s="34" t="inlineStr">
        <is>
          <t>CAPTURED</t>
        </is>
      </c>
      <c r="H9" s="34" t="inlineStr">
        <is>
          <t>Automated local run</t>
        </is>
      </c>
      <c r="I9" s="34" t="inlineStr">
        <is>
          <t>Authenticated local dashboard.</t>
        </is>
      </c>
    </row>
    <row r="10" ht="50" customHeight="1">
      <c r="A10" s="34" t="inlineStr">
        <is>
          <t>AF-E09</t>
        </is>
      </c>
      <c r="B10" s="39" t="n">
        <v>46297</v>
      </c>
      <c r="C10" s="34" t="inlineStr">
        <is>
          <t>AF-026; AF-028; AF-029; AF-030; AF-032</t>
        </is>
      </c>
      <c r="D10" s="34" t="inlineStr">
        <is>
          <t>Screenshot</t>
        </is>
      </c>
      <c r="E10" s="34" t="inlineStr">
        <is>
          <t>Mobile dashboard</t>
        </is>
      </c>
      <c r="F10" s="34" t="inlineStr">
        <is>
          <t>evidence/screenshots/dashboard-mobile.png</t>
        </is>
      </c>
      <c r="G10" s="34" t="inlineStr">
        <is>
          <t>CAPTURED</t>
        </is>
      </c>
      <c r="H10" s="34" t="inlineStr">
        <is>
          <t>Automated local run</t>
        </is>
      </c>
      <c r="I10" s="34" t="inlineStr">
        <is>
          <t>390px dashboard; not per-page evidence.</t>
        </is>
      </c>
    </row>
    <row r="11" ht="50" customHeight="1">
      <c r="A11" s="34" t="inlineStr">
        <is>
          <t>AF-E10</t>
        </is>
      </c>
      <c r="B11" s="39" t="n">
        <v>46297</v>
      </c>
      <c r="C11" s="34" t="inlineStr">
        <is>
          <t>AF-037; AF-038; AF-039; AF-040; AF-064</t>
        </is>
      </c>
      <c r="D11" s="34" t="inlineStr">
        <is>
          <t>Test output</t>
        </is>
      </c>
      <c r="E11" s="34" t="inlineStr">
        <is>
          <t>Backend tests</t>
        </is>
      </c>
      <c r="F11" s="34" t="inlineStr">
        <is>
          <t>evidence/tests/backend_pytest.txt</t>
        </is>
      </c>
      <c r="G11" s="34" t="inlineStr">
        <is>
          <t>PASS</t>
        </is>
      </c>
      <c r="H11" s="34" t="inlineStr">
        <is>
          <t>Automated local run</t>
        </is>
      </c>
      <c r="I11" s="34" t="inlineStr">
        <is>
          <t>20 passed.</t>
        </is>
      </c>
    </row>
    <row r="12" ht="50" customHeight="1">
      <c r="A12" s="34" t="inlineStr">
        <is>
          <t>AF-E11</t>
        </is>
      </c>
      <c r="B12" s="39" t="n">
        <v>46297</v>
      </c>
      <c r="C12" s="34" t="inlineStr">
        <is>
          <t>AF-036; AF-037; AF-064</t>
        </is>
      </c>
      <c r="D12" s="34" t="inlineStr">
        <is>
          <t>Test output</t>
        </is>
      </c>
      <c r="E12" s="34" t="inlineStr">
        <is>
          <t>Frontend tests</t>
        </is>
      </c>
      <c r="F12" s="34" t="inlineStr">
        <is>
          <t>evidence/tests/frontend_vitest.txt</t>
        </is>
      </c>
      <c r="G12" s="34" t="inlineStr">
        <is>
          <t>PASS</t>
        </is>
      </c>
      <c r="H12" s="34" t="inlineStr">
        <is>
          <t>Automated local run</t>
        </is>
      </c>
      <c r="I12" s="34" t="inlineStr">
        <is>
          <t>3 passed.</t>
        </is>
      </c>
    </row>
    <row r="13" ht="50" customHeight="1">
      <c r="A13" s="34" t="inlineStr">
        <is>
          <t>AF-E12</t>
        </is>
      </c>
      <c r="B13" s="39" t="n">
        <v>46297</v>
      </c>
      <c r="C13" s="34" t="inlineStr">
        <is>
          <t>AF-037; AF-042</t>
        </is>
      </c>
      <c r="D13" s="34" t="inlineStr">
        <is>
          <t>Test output</t>
        </is>
      </c>
      <c r="E13" s="34" t="inlineStr">
        <is>
          <t>Frontend lint</t>
        </is>
      </c>
      <c r="F13" s="34" t="inlineStr">
        <is>
          <t>evidence/tests/frontend_lint.txt</t>
        </is>
      </c>
      <c r="G13" s="34" t="inlineStr">
        <is>
          <t>PASS</t>
        </is>
      </c>
      <c r="H13" s="34" t="inlineStr">
        <is>
          <t>Automated local run</t>
        </is>
      </c>
      <c r="I13" s="34" t="inlineStr">
        <is>
          <t>Final verification records lint as clean; not CI/CD evidence.</t>
        </is>
      </c>
    </row>
    <row r="14" ht="50" customHeight="1">
      <c r="A14" s="34" t="inlineStr">
        <is>
          <t>AF-E13</t>
        </is>
      </c>
      <c r="B14" s="39" t="n">
        <v>46297</v>
      </c>
      <c r="C14" s="34" t="inlineStr">
        <is>
          <t>AF-045</t>
        </is>
      </c>
      <c r="D14" s="34" t="inlineStr">
        <is>
          <t>Build output</t>
        </is>
      </c>
      <c r="E14" s="34" t="inlineStr">
        <is>
          <t>Frontend build</t>
        </is>
      </c>
      <c r="F14" s="34" t="inlineStr">
        <is>
          <t>evidence/tests/frontend_build.txt</t>
        </is>
      </c>
      <c r="G14" s="34" t="inlineStr">
        <is>
          <t>PASS WITH WARNING</t>
        </is>
      </c>
      <c r="H14" s="34" t="inlineStr">
        <is>
          <t>Automated local run</t>
        </is>
      </c>
      <c r="I14" s="34" t="inlineStr">
        <is>
          <t>Build succeeds with bundle-size warning; not a production deployment test.</t>
        </is>
      </c>
    </row>
    <row r="15" ht="50" customHeight="1">
      <c r="A15" s="34" t="inlineStr">
        <is>
          <t>AF-E14</t>
        </is>
      </c>
      <c r="B15" s="39" t="n">
        <v>46297</v>
      </c>
      <c r="C15" s="34" t="inlineStr">
        <is>
          <t>AF-046; AF-047; AF-048; AF-049; AF-051; AF-052; AF-053; AF-054; AF-056; AF-057; AF-058; AF-059; AF-060; AF-061; AF-062; AF-063</t>
        </is>
      </c>
      <c r="D15" s="34" t="inlineStr">
        <is>
          <t>Report</t>
        </is>
      </c>
      <c r="E15" s="34" t="inlineStr">
        <is>
          <t>Project documentation</t>
        </is>
      </c>
      <c r="F15" s="34" t="inlineStr">
        <is>
          <t>docs/FINAL_VERIFICATION.md; docs/FINAL_PROJECT_REPORT.md; docs/ADMITFLOW_BLACK_BOOK.md</t>
        </is>
      </c>
      <c r="G15" s="34" t="inlineStr">
        <is>
          <t>PASS</t>
        </is>
      </c>
      <c r="H15" s="34" t="inlineStr">
        <is>
          <t>Project documentation</t>
        </is>
      </c>
      <c r="I15" s="34" t="inlineStr">
        <is>
          <t>College-specific fields remain pending.</t>
        </is>
      </c>
    </row>
    <row r="16" ht="50" customHeight="1">
      <c r="A16" s="34" t="inlineStr">
        <is>
          <t>AF-E15</t>
        </is>
      </c>
      <c r="B16" s="39" t="n">
        <v>46297</v>
      </c>
      <c r="C16" s="34" t="inlineStr">
        <is>
          <t>AF-031</t>
        </is>
      </c>
      <c r="D16" s="34" t="inlineStr">
        <is>
          <t>Screenshot</t>
        </is>
      </c>
      <c r="E16" s="34" t="inlineStr">
        <is>
          <t>Scenario UI</t>
        </is>
      </c>
      <c r="F16" s="34" t="inlineStr">
        <is>
          <t>evidence/screenshots/scenario.png</t>
        </is>
      </c>
      <c r="G16" s="34" t="inlineStr">
        <is>
          <t>CAPTURED</t>
        </is>
      </c>
      <c r="H16" s="34" t="inlineStr">
        <is>
          <t>Automated local run</t>
        </is>
      </c>
      <c r="I16" s="34" t="inlineStr">
        <is>
          <t>Scenario at twice baseline application volume.</t>
        </is>
      </c>
    </row>
    <row r="17" ht="50" customHeight="1">
      <c r="A17" s="34" t="inlineStr">
        <is>
          <t>AF-E16</t>
        </is>
      </c>
      <c r="B17" s="34" t="inlineStr">
        <is>
          <t>Not recorded</t>
        </is>
      </c>
      <c r="C17" s="34" t="inlineStr">
        <is>
          <t>AF-026; AF-027; AF-030; AF-031</t>
        </is>
      </c>
      <c r="D17" s="34" t="inlineStr">
        <is>
          <t>Screenshot set</t>
        </is>
      </c>
      <c r="E17" s="34" t="inlineStr">
        <is>
          <t>Redesigned UI captures</t>
        </is>
      </c>
      <c r="F17" s="34" t="inlineStr">
        <is>
          <t>evidence/screenshots/dashboard-redesign.png; evidence/screenshots/dashboard-dark.png; evidence/screenshots/dashboard-mobile-redesign.png; evidence/screenshots/scenario-redesign.png; evidence/screenshots/login-redesign.png; evidence/screenshots/assistant-offline.png</t>
        </is>
      </c>
      <c r="G17" s="34" t="inlineStr">
        <is>
          <t>CAPTURED</t>
        </is>
      </c>
      <c r="H17" s="34" t="inlineStr">
        <is>
          <t>Evidence artifacts</t>
        </is>
      </c>
      <c r="I17" s="34" t="inlineStr">
        <is>
          <t>Individual capture date not in manifest.</t>
        </is>
      </c>
    </row>
  </sheetData>
  <autoFilter ref="A1:I17"/>
  <printOptions horizontalCentered="0"/>
  <pageMargins left="0.25" right="0.25" top="0.5" bottom="0.5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0017324D"/>
    <outlinePr summaryBelow="1" summaryRight="1"/>
    <pageSetUpPr fitToPage="1"/>
  </sheetPr>
  <dimension ref="A1:H6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21"/>
  <cols>
    <col width="13" customWidth="1" min="1" max="1"/>
    <col width="58" customWidth="1" min="2" max="2"/>
    <col width="34" customWidth="1" min="3" max="3"/>
    <col width="36" customWidth="1" min="4" max="4"/>
    <col width="36" customWidth="1" min="5" max="5"/>
    <col width="44" customWidth="1" min="6" max="6"/>
    <col width="22" customWidth="1" min="7" max="7"/>
    <col width="42" customWidth="1" min="8" max="8"/>
  </cols>
  <sheetData>
    <row r="1" ht="34" customHeight="1">
      <c r="A1" s="38" t="inlineStr">
        <is>
          <t>Test ID</t>
        </is>
      </c>
      <c r="B1" s="38" t="inlineStr">
        <is>
          <t>Task ID(s)</t>
        </is>
      </c>
      <c r="C1" s="38" t="inlineStr">
        <is>
          <t>Test</t>
        </is>
      </c>
      <c r="D1" s="38" t="inlineStr">
        <is>
          <t>Command</t>
        </is>
      </c>
      <c r="E1" s="38" t="inlineStr">
        <is>
          <t>Expected</t>
        </is>
      </c>
      <c r="F1" s="38" t="inlineStr">
        <is>
          <t>Actual</t>
        </is>
      </c>
      <c r="G1" s="38" t="inlineStr">
        <is>
          <t>Status</t>
        </is>
      </c>
      <c r="H1" s="38" t="inlineStr">
        <is>
          <t>Evidence</t>
        </is>
      </c>
    </row>
    <row r="2" ht="42" customHeight="1">
      <c r="A2" s="34" t="inlineStr">
        <is>
          <t>AF-T01</t>
        </is>
      </c>
      <c r="B2" s="34" t="inlineStr">
        <is>
          <t>AF-037; AF-039; AF-040; AF-064</t>
        </is>
      </c>
      <c r="C2" s="34" t="inlineStr">
        <is>
          <t>Backend pytest suite</t>
        </is>
      </c>
      <c r="D2" s="34" t="inlineStr">
        <is>
          <t>python -m pytest -q</t>
        </is>
      </c>
      <c r="E2" s="34" t="inlineStr">
        <is>
          <t>All tests pass</t>
        </is>
      </c>
      <c r="F2" s="34" t="inlineStr">
        <is>
          <t>20 passed; 0 failed</t>
        </is>
      </c>
      <c r="G2" s="34" t="inlineStr">
        <is>
          <t>PASS</t>
        </is>
      </c>
      <c r="H2" s="34" t="inlineStr">
        <is>
          <t>evidence/tests/backend_pytest.txt</t>
        </is>
      </c>
    </row>
    <row r="3" ht="42" customHeight="1">
      <c r="A3" s="34" t="inlineStr">
        <is>
          <t>AF-T02</t>
        </is>
      </c>
      <c r="B3" s="34" t="inlineStr">
        <is>
          <t>AF-036; AF-037; AF-064</t>
        </is>
      </c>
      <c r="C3" s="34" t="inlineStr">
        <is>
          <t>Frontend Vitest suite</t>
        </is>
      </c>
      <c r="D3" s="34" t="inlineStr">
        <is>
          <t>npm test</t>
        </is>
      </c>
      <c r="E3" s="34" t="inlineStr">
        <is>
          <t>All tests pass</t>
        </is>
      </c>
      <c r="F3" s="34" t="inlineStr">
        <is>
          <t>3 passed</t>
        </is>
      </c>
      <c r="G3" s="34" t="inlineStr">
        <is>
          <t>PASS</t>
        </is>
      </c>
      <c r="H3" s="34" t="inlineStr">
        <is>
          <t>evidence/tests/frontend_vitest.txt</t>
        </is>
      </c>
    </row>
    <row r="4" ht="42" customHeight="1">
      <c r="A4" s="34" t="inlineStr">
        <is>
          <t>AF-T03</t>
        </is>
      </c>
      <c r="B4" s="34" t="inlineStr">
        <is>
          <t>AF-037; AF-042</t>
        </is>
      </c>
      <c r="C4" s="34" t="inlineStr">
        <is>
          <t>Frontend lint</t>
        </is>
      </c>
      <c r="D4" s="34" t="inlineStr">
        <is>
          <t>npm run lint</t>
        </is>
      </c>
      <c r="E4" s="34" t="inlineStr">
        <is>
          <t>No diagnostics</t>
        </is>
      </c>
      <c r="F4" s="34" t="inlineStr">
        <is>
          <t>Clean per final verification</t>
        </is>
      </c>
      <c r="G4" s="34" t="inlineStr">
        <is>
          <t>PASS</t>
        </is>
      </c>
      <c r="H4" s="34" t="inlineStr">
        <is>
          <t>evidence/tests/frontend_lint.txt</t>
        </is>
      </c>
    </row>
    <row r="5" ht="42" customHeight="1">
      <c r="A5" s="34" t="inlineStr">
        <is>
          <t>AF-T04</t>
        </is>
      </c>
      <c r="B5" s="34" t="inlineStr">
        <is>
          <t>AF-045</t>
        </is>
      </c>
      <c r="C5" s="34" t="inlineStr">
        <is>
          <t>Frontend production build</t>
        </is>
      </c>
      <c r="D5" s="34" t="inlineStr">
        <is>
          <t>npm run build</t>
        </is>
      </c>
      <c r="E5" s="34" t="inlineStr">
        <is>
          <t>Build succeeds</t>
        </is>
      </c>
      <c r="F5" s="34" t="inlineStr">
        <is>
          <t>Build succeeded; bundle-size warning present</t>
        </is>
      </c>
      <c r="G5" s="34" t="inlineStr">
        <is>
          <t>PASS WITH WARNING</t>
        </is>
      </c>
      <c r="H5" s="34" t="inlineStr">
        <is>
          <t>evidence/tests/frontend_build.txt</t>
        </is>
      </c>
    </row>
    <row r="6" ht="42" customHeight="1">
      <c r="A6" s="34" t="inlineStr">
        <is>
          <t>AF-T05</t>
        </is>
      </c>
      <c r="B6" s="34" t="inlineStr">
        <is>
          <t>AF-021; AF-022; AF-023; AF-024; AF-025; AF-038</t>
        </is>
      </c>
      <c r="C6" s="34" t="inlineStr">
        <is>
          <t>Authenticated API smoke checks</t>
        </is>
      </c>
      <c r="D6" s="34" t="inlineStr">
        <is>
          <t>python scripts/capture_evidence.py</t>
        </is>
      </c>
      <c r="E6" s="34" t="inlineStr">
        <is>
          <t>Protected routes respond successfully</t>
        </is>
      </c>
      <c r="F6" s="34" t="inlineStr">
        <is>
          <t>10 protected route operations successful</t>
        </is>
      </c>
      <c r="G6" s="34" t="inlineStr">
        <is>
          <t>PASS</t>
        </is>
      </c>
      <c r="H6" s="34" t="inlineStr">
        <is>
          <t>evidence/api/api_smoke.json</t>
        </is>
      </c>
    </row>
  </sheetData>
  <autoFilter ref="A1:H6"/>
  <printOptions horizontalCentered="0"/>
  <pageMargins left="0.25" right="0.25" top="0.5" bottom="0.5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0017324D"/>
    <outlinePr summaryBelow="1" summaryRight="1"/>
    <pageSetUpPr fitToPage="1"/>
  </sheetPr>
  <dimension ref="A1:M3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21"/>
  <cols>
    <col width="24" customWidth="1" min="1" max="1"/>
    <col width="38" customWidth="1" min="2" max="2"/>
    <col width="16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8" customWidth="1" min="10" max="10"/>
    <col width="62" customWidth="1" min="11" max="11"/>
    <col width="66" customWidth="1" min="12" max="12"/>
  </cols>
  <sheetData>
    <row r="1" ht="34" customHeight="1">
      <c r="A1" s="38" t="inlineStr">
        <is>
          <t>Plan Task IDs</t>
        </is>
      </c>
      <c r="B1" s="40" t="inlineStr">
        <is>
          <t>Model</t>
        </is>
      </c>
      <c r="C1" s="40" t="inlineStr">
        <is>
          <t>Dataset</t>
        </is>
      </c>
      <c r="D1" s="40" t="inlineStr">
        <is>
          <t>Target</t>
        </is>
      </c>
      <c r="E1" s="40" t="inlineStr">
        <is>
          <t>ROC-AUC</t>
        </is>
      </c>
      <c r="F1" s="40" t="inlineStr">
        <is>
          <t>PR-AUC</t>
        </is>
      </c>
      <c r="G1" s="40" t="inlineStr">
        <is>
          <t>Accuracy</t>
        </is>
      </c>
      <c r="H1" s="40" t="inlineStr">
        <is>
          <t>Precision</t>
        </is>
      </c>
      <c r="I1" s="40" t="inlineStr">
        <is>
          <t>Recall</t>
        </is>
      </c>
      <c r="J1" s="40" t="inlineStr">
        <is>
          <t>F1</t>
        </is>
      </c>
      <c r="K1" s="40" t="inlineStr">
        <is>
          <t>Run Date</t>
        </is>
      </c>
      <c r="L1" s="40" t="inlineStr">
        <is>
          <t>Artifact</t>
        </is>
      </c>
      <c r="M1" s="40" t="inlineStr">
        <is>
          <t>Status / Interpretation</t>
        </is>
      </c>
    </row>
    <row r="2" ht="50" customHeight="1">
      <c r="A2" t="inlineStr">
        <is>
          <t>AF-016; AF-018; AF-020</t>
        </is>
      </c>
      <c r="B2" s="14" t="inlineStr">
        <is>
          <t>Logistic Regression</t>
        </is>
      </c>
      <c r="C2" s="14" t="inlineStr">
        <is>
          <t>data/admission_data.csv (synthetic)</t>
        </is>
      </c>
      <c r="D2" s="14" t="inlineStr">
        <is>
          <t>enrolled</t>
        </is>
      </c>
      <c r="E2" s="21" t="n">
        <v>0.5573</v>
      </c>
      <c r="F2" s="21" t="n">
        <v>0.0964</v>
      </c>
      <c r="G2" s="21" t="n">
        <v>0.6143</v>
      </c>
      <c r="H2" s="21" t="n">
        <v>0.1028</v>
      </c>
      <c r="I2" s="21" t="n">
        <v>0.4659</v>
      </c>
      <c r="J2" s="21" t="n">
        <v>0.1684</v>
      </c>
      <c r="K2" s="20" t="n">
        <v>46297</v>
      </c>
      <c r="L2" s="17" t="inlineStr">
        <is>
          <t>evidence/models/model_report.json; evidence/models/admitflow_model.joblib</t>
        </is>
      </c>
      <c r="M2" s="14" t="inlineStr">
        <is>
          <t>Evaluated; weak discrimination; not decision-ready.</t>
        </is>
      </c>
    </row>
    <row r="3" ht="50" customHeight="1">
      <c r="A3" t="inlineStr">
        <is>
          <t>AF-017; AF-018; AF-020</t>
        </is>
      </c>
      <c r="B3" s="14" t="inlineStr">
        <is>
          <t>Random Forest</t>
        </is>
      </c>
      <c r="C3" s="14" t="inlineStr">
        <is>
          <t>data/admission_data.csv (synthetic)</t>
        </is>
      </c>
      <c r="D3" s="14" t="inlineStr">
        <is>
          <t>enrolled</t>
        </is>
      </c>
      <c r="E3" s="21" t="n">
        <v>0.5195</v>
      </c>
      <c r="F3" s="21" t="n">
        <v>0.1037</v>
      </c>
      <c r="G3" s="21" t="n">
        <v>0.9162</v>
      </c>
      <c r="H3" s="21" t="n">
        <v>0</v>
      </c>
      <c r="I3" s="21" t="n">
        <v>0</v>
      </c>
      <c r="J3" s="21" t="n">
        <v>0</v>
      </c>
      <c r="K3" s="20" t="n">
        <v>46297</v>
      </c>
      <c r="L3" s="17" t="inlineStr">
        <is>
          <t>evidence/models/model_report.json; evidence/models/admitflow_model.joblib</t>
        </is>
      </c>
      <c r="M3" s="14" t="inlineStr">
        <is>
          <t>Evaluated; predicts no positive cases at threshold 0.5; not decision-ready.</t>
        </is>
      </c>
    </row>
  </sheetData>
  <autoFilter ref="A1:L3"/>
  <printOptions horizontalCentered="0"/>
  <pageMargins left="0.25" right="0.25" top="0.5" bottom="0.5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tabColor rgb="0017324D"/>
    <outlinePr summaryBelow="1" summaryRight="1"/>
    <pageSetUpPr fitToPage="1"/>
  </sheetPr>
  <dimension ref="A1:C16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21"/>
  <cols>
    <col width="34" customWidth="1" min="1" max="1"/>
    <col width="64" customWidth="1" min="2" max="2"/>
    <col width="86" customWidth="1" min="3" max="3"/>
  </cols>
  <sheetData>
    <row r="1" ht="34" customHeight="1">
      <c r="A1" s="13" t="inlineStr">
        <is>
          <t>Submission Item</t>
        </is>
      </c>
      <c r="B1" s="13" t="inlineStr">
        <is>
          <t>Current Value / State</t>
        </is>
      </c>
      <c r="C1" s="13" t="inlineStr">
        <is>
          <t>Basis / Action Needed</t>
        </is>
      </c>
    </row>
    <row r="2" ht="42" customHeight="1">
      <c r="A2" s="14" t="inlineStr">
        <is>
          <t>Project title</t>
        </is>
      </c>
      <c r="B2" s="14" t="inlineStr">
        <is>
          <t>Admission Conversion Forecasting with Funnel Attribution and Scenario Simulation</t>
        </is>
      </c>
      <c r="C2" s="14" t="inlineStr">
        <is>
          <t>docs/ADMITFLOW_BLACK_BOOK.md</t>
        </is>
      </c>
    </row>
    <row r="3" ht="42" customHeight="1">
      <c r="A3" s="14" t="inlineStr">
        <is>
          <t>Project name</t>
        </is>
      </c>
      <c r="B3" s="14" t="inlineStr">
        <is>
          <t>AdmitFlow v2</t>
        </is>
      </c>
      <c r="C3" s="14" t="inlineStr">
        <is>
          <t>docs/PROJECT_SPEC.md</t>
        </is>
      </c>
    </row>
    <row r="4" ht="42" customHeight="1">
      <c r="A4" s="14" t="inlineStr">
        <is>
          <t>Students</t>
        </is>
      </c>
      <c r="B4" s="14" t="inlineStr">
        <is>
          <t>Samiksha; Zahir</t>
        </is>
      </c>
      <c r="C4" s="14" t="inlineStr">
        <is>
          <t>Named in black book; no per-task contribution split recorded.</t>
        </is>
      </c>
    </row>
    <row r="5" ht="42" customHeight="1">
      <c r="A5" s="14" t="inlineStr">
        <is>
          <t>Programme / course</t>
        </is>
      </c>
      <c r="B5" s="14" t="inlineStr">
        <is>
          <t>T.Y. B.Sc. Data Science; BDS-03 Capstone Project</t>
        </is>
      </c>
      <c r="C5" s="14" t="inlineStr">
        <is>
          <t>Confirm exact college-required wording.</t>
        </is>
      </c>
    </row>
    <row r="6" ht="42" customHeight="1">
      <c r="A6" s="14" t="inlineStr">
        <is>
          <t>Academic year</t>
        </is>
      </c>
      <c r="B6" s="14" t="inlineStr">
        <is>
          <t>2026-27</t>
        </is>
      </c>
      <c r="C6" s="14" t="inlineStr">
        <is>
          <t>docs/ADMITFLOW_BLACK_BOOK.md</t>
        </is>
      </c>
    </row>
    <row r="7" ht="42" customHeight="1">
      <c r="A7" s="14" t="inlineStr">
        <is>
          <t>College</t>
        </is>
      </c>
      <c r="B7" s="14" t="inlineStr">
        <is>
          <t>KES' Shroff College</t>
        </is>
      </c>
      <c r="C7" s="14" t="inlineStr">
        <is>
          <t>Confirm official legal/institute name and cover-page format.</t>
        </is>
      </c>
    </row>
    <row r="8" ht="42" customHeight="1">
      <c r="A8" s="14" t="inlineStr">
        <is>
          <t>Project guide</t>
        </is>
      </c>
      <c r="B8" s="19" t="inlineStr">
        <is>
          <t>Not provided</t>
        </is>
      </c>
      <c r="C8" s="14" t="inlineStr">
        <is>
          <t>Obtain guide name and required approval/signature.</t>
        </is>
      </c>
    </row>
    <row r="9" ht="42" customHeight="1">
      <c r="A9" s="14" t="inlineStr">
        <is>
          <t>PRN / roll numbers / division / semester</t>
        </is>
      </c>
      <c r="B9" s="19" t="inlineStr">
        <is>
          <t>Not provided or confirmed</t>
        </is>
      </c>
      <c r="C9" s="14" t="inlineStr">
        <is>
          <t>Complete from official student records.</t>
        </is>
      </c>
    </row>
    <row r="10" ht="42" customHeight="1">
      <c r="A10" s="14" t="inlineStr">
        <is>
          <t>Schedule dates</t>
        </is>
      </c>
      <c r="B10" s="19" t="inlineStr">
        <is>
          <t>Illustrative planned dates: 25-Sep-2026 to 03-Oct-2026</t>
        </is>
      </c>
      <c r="C10" s="14" t="inlineStr">
        <is>
          <t>Synthetic planning placeholders only; replace with actual dates if this is intended as a historical work record.</t>
        </is>
      </c>
    </row>
    <row r="11" ht="42" customHeight="1">
      <c r="A11" s="14" t="inlineStr">
        <is>
          <t>Task completion dates</t>
        </is>
      </c>
      <c r="B11" s="19" t="inlineStr">
        <is>
          <t>Not recorded</t>
        </is>
      </c>
      <c r="C11" s="14" t="inlineStr">
        <is>
          <t>Source tracker has no task completion dates.</t>
        </is>
      </c>
    </row>
    <row r="12" ht="42" customHeight="1">
      <c r="A12" s="14" t="inlineStr">
        <is>
          <t>Actual hours</t>
        </is>
      </c>
      <c r="B12" s="19" t="inlineStr">
        <is>
          <t>To be entered by students</t>
        </is>
      </c>
      <c r="C12" s="14" t="inlineStr">
        <is>
          <t>Actual-hours cells are intentionally blank in Master Tracker and Work Log.</t>
        </is>
      </c>
    </row>
    <row r="13" ht="42" customHeight="1">
      <c r="A13" s="14" t="inlineStr">
        <is>
          <t>Student signatures / declaration</t>
        </is>
      </c>
      <c r="B13" s="19" t="inlineStr">
        <is>
          <t>Pending student review and signatures</t>
        </is>
      </c>
      <c r="C13" s="14" t="inlineStr">
        <is>
          <t>Black book marks declaration and signatures pending.</t>
        </is>
      </c>
    </row>
    <row r="14" ht="42" customHeight="1">
      <c r="A14" s="14" t="inlineStr">
        <is>
          <t>Official logo / approved cover layout</t>
        </is>
      </c>
      <c r="B14" s="19" t="inlineStr">
        <is>
          <t>Not provided</t>
        </is>
      </c>
      <c r="C14" s="14" t="inlineStr">
        <is>
          <t>Insert only the college-approved asset/template.</t>
        </is>
      </c>
    </row>
    <row r="15" ht="42" customHeight="1">
      <c r="A15" s="14" t="inlineStr">
        <is>
          <t>Status interpretation</t>
        </is>
      </c>
      <c r="B15" s="14" t="inlineStr">
        <is>
          <t>Legacy A1-A17 tracker marked Completed; AF-001-AF-068 task-level status not recorded.</t>
        </is>
      </c>
      <c r="C15" s="14" t="inlineStr">
        <is>
          <t>Do not infer granular completion from the coarse legacy tracker; verify each planned row before claiming completion.</t>
        </is>
      </c>
    </row>
    <row r="16" ht="42" customHeight="1">
      <c r="A16" s="14" t="inlineStr">
        <is>
          <t>Known project limitations</t>
        </is>
      </c>
      <c r="B16" s="14" t="inlineStr">
        <is>
          <t>Synthetic data; weak classifiers; short forecast history; process-local audit log; build-size warning</t>
        </is>
      </c>
      <c r="C16" s="14" t="inlineStr">
        <is>
          <t>See docs/FINAL_VERIFICATION.md and docs/ADMITFLOW_BLACK_BOOK.md.</t>
        </is>
      </c>
    </row>
  </sheetData>
  <autoFilter ref="A1:C16"/>
  <printOptions horizontalCentered="0"/>
  <pageMargins left="0.25" right="0.25" top="0.5" bottom="0.5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tabColor rgb="0017324D"/>
    <outlinePr summaryBelow="1" summaryRight="1"/>
    <pageSetUpPr fitToPage="1"/>
  </sheetPr>
  <dimension ref="A1:D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00" customWidth="1" min="3" max="3"/>
    <col width="78" customWidth="1" min="4" max="4"/>
  </cols>
  <sheetData>
    <row r="1">
      <c r="A1" s="38" t="inlineStr">
        <is>
          <t>Legacy Task ID</t>
        </is>
      </c>
      <c r="B1" s="38" t="inlineStr">
        <is>
          <t>Legacy Task</t>
        </is>
      </c>
      <c r="C1" s="38" t="inlineStr">
        <is>
          <t>Planned Distribution Task IDs</t>
        </is>
      </c>
      <c r="D1" s="38" t="inlineStr">
        <is>
          <t>Crosswalk Note</t>
        </is>
      </c>
    </row>
    <row r="2" ht="42" customHeight="1">
      <c r="A2" s="34" t="inlineStr">
        <is>
          <t>A1</t>
        </is>
      </c>
      <c r="B2" s="34" t="inlineStr">
        <is>
          <t>Create project specification</t>
        </is>
      </c>
      <c r="C2" s="34" t="inlineStr">
        <is>
          <t>AF-001; AF-005; AF-006; AF-007</t>
        </is>
      </c>
      <c r="D2" s="34" t="inlineStr">
        <is>
          <t>Scope and requirements.</t>
        </is>
      </c>
    </row>
    <row r="3" ht="42" customHeight="1">
      <c r="A3" s="34" t="inlineStr">
        <is>
          <t>A2</t>
        </is>
      </c>
      <c r="B3" s="34" t="inlineStr">
        <is>
          <t>Create architecture blueprint</t>
        </is>
      </c>
      <c r="C3" s="34" t="inlineStr">
        <is>
          <t>AF-008; AF-021; AF-046; AF-047; AF-048; AF-049</t>
        </is>
      </c>
      <c r="D3" s="34" t="inlineStr">
        <is>
          <t>Architecture/API/design documentation.</t>
        </is>
      </c>
    </row>
    <row r="4" ht="42" customHeight="1">
      <c r="A4" s="34" t="inlineStr">
        <is>
          <t>A3</t>
        </is>
      </c>
      <c r="B4" s="34" t="inlineStr">
        <is>
          <t>Create development plan</t>
        </is>
      </c>
      <c r="C4" s="34" t="inlineStr">
        <is>
          <t>AF-003; AF-004</t>
        </is>
      </c>
      <c r="D4" s="34" t="inlineStr">
        <is>
          <t>Repository workflow and backlog.</t>
        </is>
      </c>
    </row>
    <row r="5" ht="42" customHeight="1">
      <c r="A5" s="34" t="inlineStr">
        <is>
          <t>A4</t>
        </is>
      </c>
      <c r="B5" s="34" t="inlineStr">
        <is>
          <t>Create acceptance criteria</t>
        </is>
      </c>
      <c r="C5" s="34" t="inlineStr">
        <is>
          <t>AF-002; AF-006; AF-064</t>
        </is>
      </c>
      <c r="D5" s="34" t="inlineStr">
        <is>
          <t>Acceptance and regression criteria.</t>
        </is>
      </c>
    </row>
    <row r="6" ht="42" customHeight="1">
      <c r="A6" s="34" t="inlineStr">
        <is>
          <t>A5</t>
        </is>
      </c>
      <c r="B6" s="34" t="inlineStr">
        <is>
          <t>Initialize evidence structure</t>
        </is>
      </c>
      <c r="C6" s="34" t="inlineStr">
        <is>
          <t>AF-051; AF-052</t>
        </is>
      </c>
      <c r="D6" s="34" t="inlineStr">
        <is>
          <t>Testing and evidence indexing.</t>
        </is>
      </c>
    </row>
    <row r="7" ht="42" customHeight="1">
      <c r="A7" s="34" t="inlineStr">
        <is>
          <t>A6</t>
        </is>
      </c>
      <c r="B7" s="34" t="inlineStr">
        <is>
          <t>Create Git repository</t>
        </is>
      </c>
      <c r="C7" s="34" t="inlineStr">
        <is>
          <t>AF-003</t>
        </is>
      </c>
      <c r="D7" s="34" t="inlineStr">
        <is>
          <t>Repository and workflow.</t>
        </is>
      </c>
    </row>
    <row r="8" ht="42" customHeight="1">
      <c r="A8" s="34" t="inlineStr">
        <is>
          <t>A7</t>
        </is>
      </c>
      <c r="B8" s="34" t="inlineStr">
        <is>
          <t>Generate synthetic dataset</t>
        </is>
      </c>
      <c r="C8" s="34" t="inlineStr">
        <is>
          <t>AF-008; AF-009; AF-010; AF-011</t>
        </is>
      </c>
      <c r="D8" s="34" t="inlineStr">
        <is>
          <t>Data model, dictionary, intake plan, validation.</t>
        </is>
      </c>
    </row>
    <row r="9" ht="42" customHeight="1">
      <c r="A9" s="34" t="inlineStr">
        <is>
          <t>A8</t>
        </is>
      </c>
      <c r="B9" s="34" t="inlineStr">
        <is>
          <t>Build funnel analytics</t>
        </is>
      </c>
      <c r="C9" s="34" t="inlineStr">
        <is>
          <t>AF-012</t>
        </is>
      </c>
      <c r="D9" s="34" t="inlineStr">
        <is>
          <t>Funnel calculations.</t>
        </is>
      </c>
    </row>
    <row r="10" ht="42" customHeight="1">
      <c r="A10" s="34" t="inlineStr">
        <is>
          <t>A9</t>
        </is>
      </c>
      <c r="B10" s="34" t="inlineStr">
        <is>
          <t>Build cohort analytics</t>
        </is>
      </c>
      <c r="C10" s="34" t="inlineStr">
        <is>
          <t>AF-013; AF-014</t>
        </is>
      </c>
      <c r="D10" s="34" t="inlineStr">
        <is>
          <t>Cohorts and programme comparison.</t>
        </is>
      </c>
    </row>
    <row r="11" ht="42" customHeight="1">
      <c r="A11" s="34" t="inlineStr">
        <is>
          <t>A10</t>
        </is>
      </c>
      <c r="B11" s="34" t="inlineStr">
        <is>
          <t>Implement attribution</t>
        </is>
      </c>
      <c r="C11" s="34" t="inlineStr">
        <is>
          <t>No direct granular attribution task in supplied distribution</t>
        </is>
      </c>
      <c r="D11" s="34" t="inlineStr">
        <is>
          <t>Attribution remains in existing analytics evidence; no exact planned row is identified.</t>
        </is>
      </c>
    </row>
    <row r="12" ht="42" customHeight="1">
      <c r="A12" s="34" t="inlineStr">
        <is>
          <t>A11</t>
        </is>
      </c>
      <c r="B12" s="34" t="inlineStr">
        <is>
          <t>Train baseline and advanced models</t>
        </is>
      </c>
      <c r="C12" s="34" t="inlineStr">
        <is>
          <t>AF-015; AF-016; AF-017; AF-018; AF-020</t>
        </is>
      </c>
      <c r="D12" s="34" t="inlineStr">
        <is>
          <t>Model planning, training and evaluation.</t>
        </is>
      </c>
    </row>
    <row r="13" ht="42" customHeight="1">
      <c r="A13" s="34" t="inlineStr">
        <is>
          <t>A12</t>
        </is>
      </c>
      <c r="B13" s="34" t="inlineStr">
        <is>
          <t>Build forecast pipeline</t>
        </is>
      </c>
      <c r="C13" s="34" t="inlineStr">
        <is>
          <t>AF-015; AF-019; AF-023; AF-030</t>
        </is>
      </c>
      <c r="D13" s="34" t="inlineStr">
        <is>
          <t>Forecast method, API and UI.</t>
        </is>
      </c>
    </row>
    <row r="14" ht="42" customHeight="1">
      <c r="A14" s="34" t="inlineStr">
        <is>
          <t>A13</t>
        </is>
      </c>
      <c r="B14" s="34" t="inlineStr">
        <is>
          <t>Build scenario engine</t>
        </is>
      </c>
      <c r="C14" s="34" t="inlineStr">
        <is>
          <t>AF-024; AF-031</t>
        </is>
      </c>
      <c r="D14" s="34" t="inlineStr">
        <is>
          <t>Scenario service and interface.</t>
        </is>
      </c>
    </row>
    <row r="15" ht="42" customHeight="1">
      <c r="A15" s="34" t="inlineStr">
        <is>
          <t>A14</t>
        </is>
      </c>
      <c r="B15" s="34" t="inlineStr">
        <is>
          <t>Implement FastAPI backend</t>
        </is>
      </c>
      <c r="C15" s="34" t="inlineStr">
        <is>
          <t>AF-021; AF-022; AF-023; AF-024; AF-025</t>
        </is>
      </c>
      <c r="D15" s="34" t="inlineStr">
        <is>
          <t>API and backend services.</t>
        </is>
      </c>
    </row>
    <row r="16" ht="42" customHeight="1">
      <c r="A16" s="34" t="inlineStr">
        <is>
          <t>A15</t>
        </is>
      </c>
      <c r="B16" s="34" t="inlineStr">
        <is>
          <t>Build analytics frontend</t>
        </is>
      </c>
      <c r="C16" s="34" t="inlineStr">
        <is>
          <t>AF-026; AF-027; AF-028; AF-029; AF-030; AF-031; AF-032; AF-033; AF-034; AF-035; AF-036</t>
        </is>
      </c>
      <c r="D16" s="34" t="inlineStr">
        <is>
          <t>Frontend shell and workspaces.</t>
        </is>
      </c>
    </row>
    <row r="17" ht="42" customHeight="1">
      <c r="A17" s="34" t="inlineStr">
        <is>
          <t>A16</t>
        </is>
      </c>
      <c r="B17" s="34" t="inlineStr">
        <is>
          <t>Run full verification suite</t>
        </is>
      </c>
      <c r="C17" s="34" t="inlineStr">
        <is>
          <t>AF-037; AF-038; AF-039; AF-040; AF-064</t>
        </is>
      </c>
      <c r="D17" s="34" t="inlineStr">
        <is>
          <t>Automated verification.</t>
        </is>
      </c>
    </row>
    <row r="18" ht="42" customHeight="1">
      <c r="A18" s="34" t="inlineStr">
        <is>
          <t>A17</t>
        </is>
      </c>
      <c r="B18" s="34" t="inlineStr">
        <is>
          <t>Prepare final project report</t>
        </is>
      </c>
      <c r="C18" s="34" t="inlineStr">
        <is>
          <t>AF-046; AF-047; AF-048; AF-049; AF-050; AF-051; AF-052; AF-053; AF-054; AF-055; AF-056; AF-057; AF-058; AF-059; AF-060; AF-061; AF-062; AF-063; AF-067</t>
        </is>
      </c>
      <c r="D18" s="34" t="inlineStr">
        <is>
          <t>Documentation and submission.</t>
        </is>
      </c>
    </row>
  </sheetData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tabColor rgb="00147D83"/>
    <outlinePr summaryBelow="1" summaryRight="1"/>
    <pageSetUpPr fitToPage="1"/>
  </sheetPr>
  <dimension ref="A1:J29"/>
  <sheetViews>
    <sheetView showGridLines="0" zoomScale="8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3" customWidth="1" min="2" max="2"/>
    <col width="48" customWidth="1" min="3" max="3"/>
    <col width="50" customWidth="1" min="4" max="4"/>
    <col width="16" customWidth="1" min="5" max="5"/>
    <col width="16" customWidth="1" min="6" max="6"/>
    <col width="52" customWidth="1" min="7" max="7"/>
    <col width="86" customWidth="1" min="8" max="8"/>
    <col width="52" customWidth="1" min="9" max="9"/>
    <col width="34" customWidth="1" min="10" max="10"/>
  </cols>
  <sheetData>
    <row r="1" ht="42" customHeight="1">
      <c r="A1" s="42" t="inlineStr">
        <is>
          <t>Illustrative Planned Date</t>
        </is>
      </c>
      <c r="B1" s="42" t="inlineStr">
        <is>
          <t>Task ID</t>
        </is>
      </c>
      <c r="C1" s="42" t="inlineStr">
        <is>
          <t>Planned Task / Activity</t>
        </is>
      </c>
      <c r="D1" s="42" t="inlineStr">
        <is>
          <t>Assignment Basis</t>
        </is>
      </c>
      <c r="E1" s="42" t="inlineStr">
        <is>
          <t>Planned Hours</t>
        </is>
      </c>
      <c r="F1" s="42" t="inlineStr">
        <is>
          <t>Actual Hours</t>
        </is>
      </c>
      <c r="G1" s="42" t="inlineStr">
        <is>
          <t>Actual Work Performed</t>
        </is>
      </c>
      <c r="H1" s="42" t="inlineStr">
        <is>
          <t>Evidence (confirm contribution)</t>
        </is>
      </c>
      <c r="I1" s="42" t="inlineStr">
        <is>
          <t>Outcome / Completion Notes</t>
        </is>
      </c>
      <c r="J1" s="42" t="inlineStr">
        <is>
          <t>Entry Status</t>
        </is>
      </c>
    </row>
    <row r="2" ht="56" customHeight="1">
      <c r="A2" s="43" t="n">
        <v>46290</v>
      </c>
      <c r="B2" s="44" t="inlineStr">
        <is>
          <t>AF-002</t>
        </is>
      </c>
      <c r="C2" s="44" t="inlineStr">
        <is>
          <t>Review BDS-03 requirements and acceptance gates</t>
        </is>
      </c>
      <c r="D2" s="44" t="inlineStr">
        <is>
          <t>Assigned to Samiksha in supplied plan</t>
        </is>
      </c>
      <c r="E2" s="45" t="n">
        <v>3</v>
      </c>
      <c r="F2" s="46" t="n"/>
      <c r="G2" s="46" t="n"/>
      <c r="H2" s="44" t="inlineStr">
        <is>
          <t>Potential project reference; verify this supports individual contribution: docs/ACCEPTANCE_CRITERIA.md; docs/PROJECT_SPEC.md</t>
        </is>
      </c>
      <c r="I2" s="46" t="n"/>
      <c r="J2" s="47" t="inlineStr">
        <is>
          <t>PLANNED ONLY - confirm actual work</t>
        </is>
      </c>
    </row>
    <row r="3" ht="56" customHeight="1">
      <c r="A3" s="43" t="n">
        <v>46290</v>
      </c>
      <c r="B3" s="44" t="inlineStr">
        <is>
          <t>AF-004</t>
        </is>
      </c>
      <c r="C3" s="44" t="inlineStr">
        <is>
          <t>Create backlog and milestone plan</t>
        </is>
      </c>
      <c r="D3" s="44" t="inlineStr">
        <is>
          <t>Assigned to Samiksha in supplied plan</t>
        </is>
      </c>
      <c r="E3" s="45" t="n">
        <v>4</v>
      </c>
      <c r="F3" s="46" t="n"/>
      <c r="G3" s="46" t="n"/>
      <c r="H3" s="44" t="inlineStr">
        <is>
          <t>Potential project reference; verify this supports individual contribution: docs/DEVELOPMENT_PLAN.md</t>
        </is>
      </c>
      <c r="I3" s="46" t="n"/>
      <c r="J3" s="47" t="inlineStr">
        <is>
          <t>PLANNED ONLY - confirm actual work</t>
        </is>
      </c>
    </row>
    <row r="4" ht="56" customHeight="1">
      <c r="A4" s="43" t="n">
        <v>46290</v>
      </c>
      <c r="B4" s="44" t="inlineStr">
        <is>
          <t>AF-005</t>
        </is>
      </c>
      <c r="C4" s="44" t="inlineStr">
        <is>
          <t>Stakeholder map and personas</t>
        </is>
      </c>
      <c r="D4" s="44" t="inlineStr">
        <is>
          <t>Assigned to Samiksha in supplied plan</t>
        </is>
      </c>
      <c r="E4" s="45" t="n">
        <v>4</v>
      </c>
      <c r="F4" s="46" t="n"/>
      <c r="G4" s="46" t="n"/>
      <c r="H4" s="44" t="inlineStr">
        <is>
          <t>Potential project reference; verify this supports individual contribution: docs/PROJECT_SPEC.md; docs/ADMITFLOW_BLACK_BOOK.md</t>
        </is>
      </c>
      <c r="I4" s="46" t="n"/>
      <c r="J4" s="47" t="inlineStr">
        <is>
          <t>PLANNED ONLY - confirm actual work</t>
        </is>
      </c>
    </row>
    <row r="5" ht="56" customHeight="1">
      <c r="A5" s="43" t="n">
        <v>46290</v>
      </c>
      <c r="B5" s="44" t="inlineStr">
        <is>
          <t>AF-006</t>
        </is>
      </c>
      <c r="C5" s="44" t="inlineStr">
        <is>
          <t>User stories and acceptance criteria</t>
        </is>
      </c>
      <c r="D5" s="44" t="inlineStr">
        <is>
          <t>Assigned to Samiksha in supplied plan</t>
        </is>
      </c>
      <c r="E5" s="45" t="n">
        <v>5</v>
      </c>
      <c r="F5" s="46" t="n"/>
      <c r="G5" s="46" t="n"/>
      <c r="H5" s="44" t="inlineStr">
        <is>
          <t>Potential project reference; verify this supports individual contribution: docs/ACCEPTANCE_CRITERIA.md; docs/PROJECT_SPEC.md</t>
        </is>
      </c>
      <c r="I5" s="46" t="n"/>
      <c r="J5" s="47" t="inlineStr">
        <is>
          <t>PLANNED ONLY - confirm actual work</t>
        </is>
      </c>
    </row>
    <row r="6" ht="56" customHeight="1">
      <c r="A6" s="43" t="n">
        <v>46290</v>
      </c>
      <c r="B6" s="44" t="inlineStr">
        <is>
          <t>AF-007</t>
        </is>
      </c>
      <c r="C6" s="44" t="inlineStr">
        <is>
          <t>Misuse cases, risks and scope exclusions</t>
        </is>
      </c>
      <c r="D6" s="44" t="inlineStr">
        <is>
          <t>Assigned to Samiksha in supplied plan</t>
        </is>
      </c>
      <c r="E6" s="45" t="n">
        <v>4</v>
      </c>
      <c r="F6" s="46" t="n"/>
      <c r="G6" s="46" t="n"/>
      <c r="H6" s="44" t="inlineStr">
        <is>
          <t>Potential project reference; verify this supports individual contribution: docs/PROJECT_SPEC.md; docs/ADMITFLOW_BLACK_BOOK.md</t>
        </is>
      </c>
      <c r="I6" s="46" t="n"/>
      <c r="J6" s="47" t="inlineStr">
        <is>
          <t>PLANNED ONLY - confirm actual work</t>
        </is>
      </c>
    </row>
    <row r="7" ht="56" customHeight="1">
      <c r="A7" s="43" t="n">
        <v>46295</v>
      </c>
      <c r="B7" s="44" t="inlineStr">
        <is>
          <t>AF-046</t>
        </is>
      </c>
      <c r="C7" s="44" t="inlineStr">
        <is>
          <t>C4 architecture and data-flow diagrams</t>
        </is>
      </c>
      <c r="D7" s="44" t="inlineStr">
        <is>
          <t>Assigned to Samiksha in supplied plan</t>
        </is>
      </c>
      <c r="E7" s="45" t="n">
        <v>5</v>
      </c>
      <c r="F7" s="46" t="n"/>
      <c r="G7" s="46" t="n"/>
      <c r="H7" s="44" t="inlineStr">
        <is>
          <t>Potential project reference; verify this supports individual contribution: docs/ARCHITECTURE.md; docs/ADMITFLOW_BLACK_BOOK.md</t>
        </is>
      </c>
      <c r="I7" s="46" t="n"/>
      <c r="J7" s="47" t="inlineStr">
        <is>
          <t>PLANNED ONLY - confirm actual work</t>
        </is>
      </c>
    </row>
    <row r="8" ht="56" customHeight="1">
      <c r="A8" s="43" t="n">
        <v>46295</v>
      </c>
      <c r="B8" s="44" t="inlineStr">
        <is>
          <t>AF-047</t>
        </is>
      </c>
      <c r="C8" s="44" t="inlineStr">
        <is>
          <t>ER diagram</t>
        </is>
      </c>
      <c r="D8" s="44" t="inlineStr">
        <is>
          <t>Assigned to Samiksha in supplied plan</t>
        </is>
      </c>
      <c r="E8" s="45" t="n">
        <v>4</v>
      </c>
      <c r="F8" s="46" t="n"/>
      <c r="G8" s="46" t="n"/>
      <c r="H8" s="44" t="inlineStr">
        <is>
          <t>Potential project reference; verify this supports individual contribution: docs/ADMITFLOW_BLACK_BOOK.md (database ER diagram)</t>
        </is>
      </c>
      <c r="I8" s="46" t="n"/>
      <c r="J8" s="47" t="inlineStr">
        <is>
          <t>PLANNED ONLY - confirm actual work</t>
        </is>
      </c>
    </row>
    <row r="9" ht="56" customHeight="1">
      <c r="A9" s="43" t="n">
        <v>46295</v>
      </c>
      <c r="B9" s="44" t="inlineStr">
        <is>
          <t>AF-048</t>
        </is>
      </c>
      <c r="C9" s="44" t="inlineStr">
        <is>
          <t>DFD Level 0/1</t>
        </is>
      </c>
      <c r="D9" s="44" t="inlineStr">
        <is>
          <t>Assigned to Samiksha in supplied plan</t>
        </is>
      </c>
      <c r="E9" s="45" t="n">
        <v>5</v>
      </c>
      <c r="F9" s="46" t="n"/>
      <c r="G9" s="46" t="n"/>
      <c r="H9" s="44" t="inlineStr">
        <is>
          <t>Potential project reference; verify this supports individual contribution: docs/ARCHITECTURE.md; docs/ADMITFLOW_BLACK_BOOK.md</t>
        </is>
      </c>
      <c r="I9" s="46" t="n"/>
      <c r="J9" s="47" t="inlineStr">
        <is>
          <t>PLANNED ONLY - confirm actual work</t>
        </is>
      </c>
    </row>
    <row r="10" ht="56" customHeight="1">
      <c r="A10" s="43" t="n">
        <v>46295</v>
      </c>
      <c r="B10" s="44" t="inlineStr">
        <is>
          <t>AF-049</t>
        </is>
      </c>
      <c r="C10" s="44" t="inlineStr">
        <is>
          <t>UML use-case/class/sequence/state</t>
        </is>
      </c>
      <c r="D10" s="44" t="inlineStr">
        <is>
          <t>Assigned to Samiksha in supplied plan</t>
        </is>
      </c>
      <c r="E10" s="45" t="n">
        <v>7</v>
      </c>
      <c r="F10" s="46" t="n"/>
      <c r="G10" s="46" t="n"/>
      <c r="H10" s="44" t="inlineStr">
        <is>
          <t>Potential project reference; verify this supports individual contribution: docs/ARCHITECTURE.md; docs/ADMITFLOW_BLACK_BOOK.md</t>
        </is>
      </c>
      <c r="I10" s="46" t="n"/>
      <c r="J10" s="47" t="inlineStr">
        <is>
          <t>PLANNED ONLY - confirm actual work</t>
        </is>
      </c>
    </row>
    <row r="11" ht="56" customHeight="1">
      <c r="A11" s="43" t="n">
        <v>46295</v>
      </c>
      <c r="B11" s="44" t="inlineStr">
        <is>
          <t>AF-050</t>
        </is>
      </c>
      <c r="C11" s="44" t="inlineStr">
        <is>
          <t>Gantt chart</t>
        </is>
      </c>
      <c r="D11" s="44" t="inlineStr">
        <is>
          <t>Assigned to Samiksha in supplied plan</t>
        </is>
      </c>
      <c r="E11" s="45" t="n">
        <v>3</v>
      </c>
      <c r="F11" s="46" t="n"/>
      <c r="G11" s="46" t="n"/>
      <c r="H11" s="44" t="inlineStr">
        <is>
          <t>Potential project reference; verify this supports individual contribution: docs/ADMITFLOW_BLACK_BOOK.md (schedule note; dated Gantt is unsupported because task dates are absent).</t>
        </is>
      </c>
      <c r="I11" s="46" t="n"/>
      <c r="J11" s="47" t="inlineStr">
        <is>
          <t>PLANNED ONLY - confirm actual work</t>
        </is>
      </c>
    </row>
    <row r="12" ht="56" customHeight="1">
      <c r="A12" s="43" t="n">
        <v>46295</v>
      </c>
      <c r="B12" s="44" t="inlineStr">
        <is>
          <t>AF-051</t>
        </is>
      </c>
      <c r="C12" s="44" t="inlineStr">
        <is>
          <t>Test-case documentation</t>
        </is>
      </c>
      <c r="D12" s="44" t="inlineStr">
        <is>
          <t>Assigned to Samiksha in supplied plan</t>
        </is>
      </c>
      <c r="E12" s="45" t="n">
        <v>7</v>
      </c>
      <c r="F12" s="46" t="n"/>
      <c r="G12" s="46" t="n"/>
      <c r="H12" s="44" t="inlineStr">
        <is>
          <t>Potential project reference; verify this supports individual contribution: docs/TESTING.md; tests/; evidence/tests/</t>
        </is>
      </c>
      <c r="I12" s="46" t="n"/>
      <c r="J12" s="47" t="inlineStr">
        <is>
          <t>PLANNED ONLY - confirm actual work</t>
        </is>
      </c>
    </row>
    <row r="13" ht="56" customHeight="1">
      <c r="A13" s="43" t="n">
        <v>46296</v>
      </c>
      <c r="B13" s="44" t="inlineStr">
        <is>
          <t>AF-052</t>
        </is>
      </c>
      <c r="C13" s="44" t="inlineStr">
        <is>
          <t>Results/screenshots/evidence index</t>
        </is>
      </c>
      <c r="D13" s="44" t="inlineStr">
        <is>
          <t>Assigned to Samiksha in supplied plan</t>
        </is>
      </c>
      <c r="E13" s="45" t="n">
        <v>5</v>
      </c>
      <c r="F13" s="46" t="n"/>
      <c r="G13" s="46" t="n"/>
      <c r="H13" s="44" t="inlineStr">
        <is>
          <t>Potential project reference; verify this supports individual contribution: docs/EVIDENCE.md; evidence/reports/evidence_manifest.json; evidence/screenshots/</t>
        </is>
      </c>
      <c r="I13" s="46" t="n"/>
      <c r="J13" s="47" t="inlineStr">
        <is>
          <t>PLANNED ONLY - confirm actual work</t>
        </is>
      </c>
    </row>
    <row r="14" ht="56" customHeight="1">
      <c r="A14" s="43" t="n">
        <v>46296</v>
      </c>
      <c r="B14" s="44" t="inlineStr">
        <is>
          <t>AF-053</t>
        </is>
      </c>
      <c r="C14" s="44" t="inlineStr">
        <is>
          <t>Evaluation dossier structure</t>
        </is>
      </c>
      <c r="D14" s="44" t="inlineStr">
        <is>
          <t>Assigned to Samiksha in supplied plan</t>
        </is>
      </c>
      <c r="E14" s="45" t="n">
        <v>5</v>
      </c>
      <c r="F14" s="46" t="n"/>
      <c r="G14" s="46" t="n"/>
      <c r="H14" s="44" t="inlineStr">
        <is>
          <t>Potential project reference; verify this supports individual contribution: docs/MODEL_METHODOLOGY.md; docs/ADMITFLOW_VIVA_PREPARATION.md</t>
        </is>
      </c>
      <c r="I14" s="46" t="n"/>
      <c r="J14" s="47" t="inlineStr">
        <is>
          <t>PLANNED ONLY - confirm actual work</t>
        </is>
      </c>
    </row>
    <row r="15" ht="56" customHeight="1">
      <c r="A15" s="43" t="n">
        <v>46296</v>
      </c>
      <c r="B15" s="44" t="inlineStr">
        <is>
          <t>AF-054</t>
        </is>
      </c>
      <c r="C15" s="44" t="inlineStr">
        <is>
          <t>Model/system card inputs</t>
        </is>
      </c>
      <c r="D15" s="44" t="inlineStr">
        <is>
          <t>Assigned to Samiksha in supplied plan</t>
        </is>
      </c>
      <c r="E15" s="45" t="n">
        <v>4</v>
      </c>
      <c r="F15" s="46" t="n"/>
      <c r="G15" s="46" t="n"/>
      <c r="H15" s="44" t="inlineStr">
        <is>
          <t>Potential project reference; verify this supports individual contribution: docs/MODEL_METHODOLOGY.md; docs/ADMITFLOW_VIVA_PREPARATION.md</t>
        </is>
      </c>
      <c r="I15" s="46" t="n"/>
      <c r="J15" s="47" t="inlineStr">
        <is>
          <t>PLANNED ONLY - confirm actual work</t>
        </is>
      </c>
    </row>
    <row r="16" ht="56" customHeight="1">
      <c r="A16" s="43" t="n">
        <v>46296</v>
      </c>
      <c r="B16" s="44" t="inlineStr">
        <is>
          <t>AF-055</t>
        </is>
      </c>
      <c r="C16" s="44" t="inlineStr">
        <is>
          <t>Admin/user guide content</t>
        </is>
      </c>
      <c r="D16" s="44" t="inlineStr">
        <is>
          <t>Assigned to Samiksha in supplied plan</t>
        </is>
      </c>
      <c r="E16" s="45" t="n">
        <v>5</v>
      </c>
      <c r="F16" s="46" t="n"/>
      <c r="G16" s="46" t="n"/>
      <c r="H16" s="44" t="inlineStr">
        <is>
          <t>To be completed only if work is performed and an artifact is created.</t>
        </is>
      </c>
      <c r="I16" s="46" t="n"/>
      <c r="J16" s="47" t="inlineStr">
        <is>
          <t>PLANNED ONLY - confirm actual work</t>
        </is>
      </c>
    </row>
    <row r="17" ht="56" customHeight="1">
      <c r="A17" s="43" t="n">
        <v>46296</v>
      </c>
      <c r="B17" s="44" t="inlineStr">
        <is>
          <t>AF-056</t>
        </is>
      </c>
      <c r="C17" s="44" t="inlineStr">
        <is>
          <t>Chapter 1 ? Introduction</t>
        </is>
      </c>
      <c r="D17" s="44" t="inlineStr">
        <is>
          <t>Assigned to Samiksha in supplied plan</t>
        </is>
      </c>
      <c r="E17" s="45" t="n">
        <v>6</v>
      </c>
      <c r="F17" s="46" t="n"/>
      <c r="G17" s="46" t="n"/>
      <c r="H17" s="44" t="inlineStr">
        <is>
          <t>Potential project reference; verify this supports individual contribution: docs/ADMITFLOW_BLACK_BOOK.md ? Chapter 1</t>
        </is>
      </c>
      <c r="I17" s="46" t="n"/>
      <c r="J17" s="47" t="inlineStr">
        <is>
          <t>PLANNED ONLY - confirm actual work</t>
        </is>
      </c>
    </row>
    <row r="18" ht="56" customHeight="1">
      <c r="A18" s="43" t="n">
        <v>46296</v>
      </c>
      <c r="B18" s="44" t="inlineStr">
        <is>
          <t>AF-057</t>
        </is>
      </c>
      <c r="C18" s="44" t="inlineStr">
        <is>
          <t>Chapter 2 ? System Analysis</t>
        </is>
      </c>
      <c r="D18" s="44" t="inlineStr">
        <is>
          <t>Assigned to Samiksha in supplied plan</t>
        </is>
      </c>
      <c r="E18" s="45" t="n">
        <v>7</v>
      </c>
      <c r="F18" s="46" t="n"/>
      <c r="G18" s="46" t="n"/>
      <c r="H18" s="44" t="inlineStr">
        <is>
          <t>Potential project reference; verify this supports individual contribution: docs/ADMITFLOW_BLACK_BOOK.md ? Chapter 2</t>
        </is>
      </c>
      <c r="I18" s="46" t="n"/>
      <c r="J18" s="47" t="inlineStr">
        <is>
          <t>PLANNED ONLY - confirm actual work</t>
        </is>
      </c>
    </row>
    <row r="19" ht="56" customHeight="1">
      <c r="A19" s="43" t="n">
        <v>46296</v>
      </c>
      <c r="B19" s="44" t="inlineStr">
        <is>
          <t>AF-058</t>
        </is>
      </c>
      <c r="C19" s="44" t="inlineStr">
        <is>
          <t>Chapter 3 ? System Design</t>
        </is>
      </c>
      <c r="D19" s="44" t="inlineStr">
        <is>
          <t>Assigned to Samiksha in supplied plan</t>
        </is>
      </c>
      <c r="E19" s="45" t="n">
        <v>8</v>
      </c>
      <c r="F19" s="46" t="n"/>
      <c r="G19" s="46" t="n"/>
      <c r="H19" s="44" t="inlineStr">
        <is>
          <t>Potential project reference; verify this supports individual contribution: docs/ADMITFLOW_BLACK_BOOK.md ? Chapter 3</t>
        </is>
      </c>
      <c r="I19" s="46" t="n"/>
      <c r="J19" s="47" t="inlineStr">
        <is>
          <t>PLANNED ONLY - confirm actual work</t>
        </is>
      </c>
    </row>
    <row r="20" ht="56" customHeight="1">
      <c r="A20" s="43" t="n">
        <v>46296</v>
      </c>
      <c r="B20" s="44" t="inlineStr">
        <is>
          <t>AF-059</t>
        </is>
      </c>
      <c r="C20" s="44" t="inlineStr">
        <is>
          <t>Chapter 4 ? Implementation &amp; Testing</t>
        </is>
      </c>
      <c r="D20" s="44" t="inlineStr">
        <is>
          <t>Assigned to Samiksha in supplied plan</t>
        </is>
      </c>
      <c r="E20" s="45" t="n">
        <v>8</v>
      </c>
      <c r="F20" s="46" t="n"/>
      <c r="G20" s="46" t="n"/>
      <c r="H20" s="44" t="inlineStr">
        <is>
          <t>Potential project reference; verify this supports individual contribution: docs/ADMITFLOW_BLACK_BOOK.md ? Chapter 4</t>
        </is>
      </c>
      <c r="I20" s="46" t="n"/>
      <c r="J20" s="47" t="inlineStr">
        <is>
          <t>PLANNED ONLY - confirm actual work</t>
        </is>
      </c>
    </row>
    <row r="21" ht="56" customHeight="1">
      <c r="A21" s="43" t="n">
        <v>46297</v>
      </c>
      <c r="B21" s="44" t="inlineStr">
        <is>
          <t>AF-060</t>
        </is>
      </c>
      <c r="C21" s="44" t="inlineStr">
        <is>
          <t>Chapter 5 ? Results &amp; Discussions</t>
        </is>
      </c>
      <c r="D21" s="44" t="inlineStr">
        <is>
          <t>Assigned to Samiksha in supplied plan</t>
        </is>
      </c>
      <c r="E21" s="45" t="n">
        <v>8</v>
      </c>
      <c r="F21" s="46" t="n"/>
      <c r="G21" s="46" t="n"/>
      <c r="H21" s="44" t="inlineStr">
        <is>
          <t>Potential project reference; verify this supports individual contribution: docs/ADMITFLOW_BLACK_BOOK.md ? Chapter 5</t>
        </is>
      </c>
      <c r="I21" s="46" t="n"/>
      <c r="J21" s="47" t="inlineStr">
        <is>
          <t>PLANNED ONLY - confirm actual work</t>
        </is>
      </c>
    </row>
    <row r="22" ht="56" customHeight="1">
      <c r="A22" s="43" t="n">
        <v>46297</v>
      </c>
      <c r="B22" s="44" t="inlineStr">
        <is>
          <t>AF-061</t>
        </is>
      </c>
      <c r="C22" s="44" t="inlineStr">
        <is>
          <t>Chapter 6 ? Conclusion &amp; Future Work</t>
        </is>
      </c>
      <c r="D22" s="44" t="inlineStr">
        <is>
          <t>Assigned to Samiksha in supplied plan</t>
        </is>
      </c>
      <c r="E22" s="45" t="n">
        <v>4</v>
      </c>
      <c r="F22" s="46" t="n"/>
      <c r="G22" s="46" t="n"/>
      <c r="H22" s="44" t="inlineStr">
        <is>
          <t>Potential project reference; verify this supports individual contribution: docs/ADMITFLOW_BLACK_BOOK.md ? Chapter 6</t>
        </is>
      </c>
      <c r="I22" s="46" t="n"/>
      <c r="J22" s="47" t="inlineStr">
        <is>
          <t>PLANNED ONLY - confirm actual work</t>
        </is>
      </c>
    </row>
    <row r="23" ht="56" customHeight="1">
      <c r="A23" s="43" t="n">
        <v>46297</v>
      </c>
      <c r="B23" s="44" t="inlineStr">
        <is>
          <t>AF-062</t>
        </is>
      </c>
      <c r="C23" s="44" t="inlineStr">
        <is>
          <t>Chapter 7 ? References</t>
        </is>
      </c>
      <c r="D23" s="44" t="inlineStr">
        <is>
          <t>Assigned to Samiksha in supplied plan</t>
        </is>
      </c>
      <c r="E23" s="45" t="n">
        <v>3</v>
      </c>
      <c r="F23" s="46" t="n"/>
      <c r="G23" s="46" t="n"/>
      <c r="H23" s="44" t="inlineStr">
        <is>
          <t>Potential project reference; verify this supports individual contribution: docs/ADMITFLOW_BLACK_BOOK.md ? Chapter 7</t>
        </is>
      </c>
      <c r="I23" s="46" t="n"/>
      <c r="J23" s="47" t="inlineStr">
        <is>
          <t>PLANNED ONLY - confirm actual work</t>
        </is>
      </c>
    </row>
    <row r="24" ht="56" customHeight="1">
      <c r="A24" s="43" t="n">
        <v>46297</v>
      </c>
      <c r="B24" s="44" t="inlineStr">
        <is>
          <t>AF-063</t>
        </is>
      </c>
      <c r="C24" s="44" t="inlineStr">
        <is>
          <t>Front matter using faculty sample</t>
        </is>
      </c>
      <c r="D24" s="44" t="inlineStr">
        <is>
          <t>Assigned to Samiksha in supplied plan</t>
        </is>
      </c>
      <c r="E24" s="45" t="n">
        <v>5</v>
      </c>
      <c r="F24" s="46" t="n"/>
      <c r="G24" s="46" t="n"/>
      <c r="H24" s="44" t="inlineStr">
        <is>
          <t>Potential project reference; verify this supports individual contribution: docs/ADMITFLOW_BLACK_BOOK.md (front matter placeholders remain pending; faculty template not supplied).</t>
        </is>
      </c>
      <c r="I24" s="46" t="n"/>
      <c r="J24" s="47" t="inlineStr">
        <is>
          <t>PLANNED ONLY - confirm actual work</t>
        </is>
      </c>
    </row>
    <row r="25" ht="56" customHeight="1">
      <c r="A25" s="43" t="n">
        <v>46297</v>
      </c>
      <c r="B25" s="44" t="inlineStr">
        <is>
          <t>AF-064</t>
        </is>
      </c>
      <c r="C25" s="44" t="inlineStr">
        <is>
          <t>Full regression and acceptance checklist</t>
        </is>
      </c>
      <c r="D25" s="44" t="inlineStr">
        <is>
          <t>Joint assignment (verify each student's contribution)</t>
        </is>
      </c>
      <c r="E25" s="45" t="n">
        <v>6</v>
      </c>
      <c r="F25" s="46" t="n"/>
      <c r="G25" s="46" t="n"/>
      <c r="H25" s="44" t="inlineStr">
        <is>
          <t>Potential project reference; verify this supports individual contribution: evidence/tests/backend_pytest.txt; evidence/tests/frontend_vitest.txt; docs/ACCEPTANCE_CRITERIA.md</t>
        </is>
      </c>
      <c r="I25" s="46" t="n"/>
      <c r="J25" s="47" t="inlineStr">
        <is>
          <t>PLANNED ONLY - confirm actual work</t>
        </is>
      </c>
    </row>
    <row r="26" ht="56" customHeight="1">
      <c r="A26" s="43" t="n">
        <v>46297</v>
      </c>
      <c r="B26" s="44" t="inlineStr">
        <is>
          <t>AF-065</t>
        </is>
      </c>
      <c r="C26" s="44" t="inlineStr">
        <is>
          <t>Stakeholder usability evaluation</t>
        </is>
      </c>
      <c r="D26" s="44" t="inlineStr">
        <is>
          <t>Joint assignment (verify each student's contribution)</t>
        </is>
      </c>
      <c r="E26" s="45" t="n">
        <v>5</v>
      </c>
      <c r="F26" s="46" t="n"/>
      <c r="G26" s="46" t="n"/>
      <c r="H26" s="44" t="inlineStr">
        <is>
          <t>To be completed only if work is performed and an artifact is created.</t>
        </is>
      </c>
      <c r="I26" s="46" t="n"/>
      <c r="J26" s="47" t="inlineStr">
        <is>
          <t>PLANNED ONLY - confirm actual work</t>
        </is>
      </c>
    </row>
    <row r="27" ht="56" customHeight="1">
      <c r="A27" s="43" t="n">
        <v>46297</v>
      </c>
      <c r="B27" s="44" t="inlineStr">
        <is>
          <t>AF-066</t>
        </is>
      </c>
      <c r="C27" s="44" t="inlineStr">
        <is>
          <t>5?8 minute product demo</t>
        </is>
      </c>
      <c r="D27" s="44" t="inlineStr">
        <is>
          <t>Joint assignment (verify each student's contribution)</t>
        </is>
      </c>
      <c r="E27" s="45" t="n">
        <v>4</v>
      </c>
      <c r="F27" s="46" t="n"/>
      <c r="G27" s="46" t="n"/>
      <c r="H27" s="44" t="inlineStr">
        <is>
          <t>To be completed only if work is performed and an artifact is created.</t>
        </is>
      </c>
      <c r="I27" s="46" t="n"/>
      <c r="J27" s="47" t="inlineStr">
        <is>
          <t>PLANNED ONLY - confirm actual work</t>
        </is>
      </c>
    </row>
    <row r="28" ht="56" customHeight="1">
      <c r="A28" s="43" t="n">
        <v>46297</v>
      </c>
      <c r="B28" s="44" t="inlineStr">
        <is>
          <t>AF-067</t>
        </is>
      </c>
      <c r="C28" s="44" t="inlineStr">
        <is>
          <t>Presentation and viva evidence</t>
        </is>
      </c>
      <c r="D28" s="44" t="inlineStr">
        <is>
          <t>Joint assignment (verify each student's contribution)</t>
        </is>
      </c>
      <c r="E28" s="45" t="n">
        <v>5</v>
      </c>
      <c r="F28" s="46" t="n"/>
      <c r="G28" s="46" t="n"/>
      <c r="H28" s="44" t="inlineStr">
        <is>
          <t>To be completed only if work is performed and an artifact is created.</t>
        </is>
      </c>
      <c r="I28" s="46" t="n"/>
      <c r="J28" s="47" t="inlineStr">
        <is>
          <t>PLANNED ONLY - confirm actual work</t>
        </is>
      </c>
    </row>
    <row r="29" ht="56" customHeight="1">
      <c r="A29" s="43" t="n">
        <v>46298</v>
      </c>
      <c r="B29" s="44" t="inlineStr">
        <is>
          <t>AF-068</t>
        </is>
      </c>
      <c r="C29" s="44" t="inlineStr">
        <is>
          <t>Finalize actual contribution evidence and logs</t>
        </is>
      </c>
      <c r="D29" s="44" t="inlineStr">
        <is>
          <t>Joint assignment (verify each student's contribution)</t>
        </is>
      </c>
      <c r="E29" s="45" t="n">
        <v>4</v>
      </c>
      <c r="F29" s="46" t="n"/>
      <c r="G29" s="46" t="n"/>
      <c r="H29" s="44" t="inlineStr">
        <is>
          <t>To be completed only if work is performed and an artifact is created.</t>
        </is>
      </c>
      <c r="I29" s="46" t="n"/>
      <c r="J29" s="47" t="inlineStr">
        <is>
          <t>PLANNED ONLY - confirm actual work</t>
        </is>
      </c>
    </row>
  </sheetData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tabColor rgb="00147D83"/>
    <outlinePr summaryBelow="1" summaryRight="1"/>
    <pageSetUpPr fitToPage="1"/>
  </sheetPr>
  <dimension ref="A1:J46"/>
  <sheetViews>
    <sheetView showGridLines="0" zoomScale="8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3" customWidth="1" min="2" max="2"/>
    <col width="48" customWidth="1" min="3" max="3"/>
    <col width="50" customWidth="1" min="4" max="4"/>
    <col width="16" customWidth="1" min="5" max="5"/>
    <col width="16" customWidth="1" min="6" max="6"/>
    <col width="52" customWidth="1" min="7" max="7"/>
    <col width="86" customWidth="1" min="8" max="8"/>
    <col width="52" customWidth="1" min="9" max="9"/>
    <col width="34" customWidth="1" min="10" max="10"/>
  </cols>
  <sheetData>
    <row r="1" ht="42" customHeight="1">
      <c r="A1" s="42" t="inlineStr">
        <is>
          <t>Illustrative Planned Date</t>
        </is>
      </c>
      <c r="B1" s="42" t="inlineStr">
        <is>
          <t>Task ID</t>
        </is>
      </c>
      <c r="C1" s="42" t="inlineStr">
        <is>
          <t>Planned Task / Activity</t>
        </is>
      </c>
      <c r="D1" s="42" t="inlineStr">
        <is>
          <t>Assignment Basis</t>
        </is>
      </c>
      <c r="E1" s="42" t="inlineStr">
        <is>
          <t>Planned Hours</t>
        </is>
      </c>
      <c r="F1" s="42" t="inlineStr">
        <is>
          <t>Actual Hours</t>
        </is>
      </c>
      <c r="G1" s="42" t="inlineStr">
        <is>
          <t>Actual Work Performed</t>
        </is>
      </c>
      <c r="H1" s="42" t="inlineStr">
        <is>
          <t>Evidence (confirm contribution)</t>
        </is>
      </c>
      <c r="I1" s="42" t="inlineStr">
        <is>
          <t>Outcome / Completion Notes</t>
        </is>
      </c>
      <c r="J1" s="42" t="inlineStr">
        <is>
          <t>Entry Status</t>
        </is>
      </c>
    </row>
    <row r="2" ht="56" customHeight="1">
      <c r="A2" s="43" t="n">
        <v>46290</v>
      </c>
      <c r="B2" s="44" t="inlineStr">
        <is>
          <t>AF-001</t>
        </is>
      </c>
      <c r="C2" s="44" t="inlineStr">
        <is>
          <t>Finalize AdmitFlow product scope and positioning</t>
        </is>
      </c>
      <c r="D2" s="44" t="inlineStr">
        <is>
          <t>Assigned to Zahir in supplied plan</t>
        </is>
      </c>
      <c r="E2" s="45" t="n">
        <v>3</v>
      </c>
      <c r="F2" s="46" t="n"/>
      <c r="G2" s="46" t="n"/>
      <c r="H2" s="44" t="inlineStr">
        <is>
          <t>Potential project reference; verify this supports individual contribution: docs/PROJECT_SPEC.md; docs/ADMITFLOW_BLACK_BOOK.md</t>
        </is>
      </c>
      <c r="I2" s="46" t="n"/>
      <c r="J2" s="47" t="inlineStr">
        <is>
          <t>PLANNED ONLY - confirm actual work</t>
        </is>
      </c>
    </row>
    <row r="3" ht="56" customHeight="1">
      <c r="A3" s="43" t="n">
        <v>46290</v>
      </c>
      <c r="B3" s="44" t="inlineStr">
        <is>
          <t>AF-003</t>
        </is>
      </c>
      <c r="C3" s="44" t="inlineStr">
        <is>
          <t>Set up GitHub repo, issue board and workflow</t>
        </is>
      </c>
      <c r="D3" s="44" t="inlineStr">
        <is>
          <t>Assigned to Zahir in supplied plan</t>
        </is>
      </c>
      <c r="E3" s="45" t="n">
        <v>3</v>
      </c>
      <c r="F3" s="46" t="n"/>
      <c r="G3" s="46" t="n"/>
      <c r="H3" s="44" t="inlineStr">
        <is>
          <t>Potential project reference; verify this supports individual contribution: .git; Git history (repository metadata)</t>
        </is>
      </c>
      <c r="I3" s="46" t="n"/>
      <c r="J3" s="47" t="inlineStr">
        <is>
          <t>PLANNED ONLY - confirm actual work</t>
        </is>
      </c>
    </row>
    <row r="4" ht="56" customHeight="1">
      <c r="A4" s="43" t="n">
        <v>46290</v>
      </c>
      <c r="B4" s="44" t="inlineStr">
        <is>
          <t>AF-008</t>
        </is>
      </c>
      <c r="C4" s="44" t="inlineStr">
        <is>
          <t>Admission funnel/event data model</t>
        </is>
      </c>
      <c r="D4" s="44" t="inlineStr">
        <is>
          <t>Assigned to Zahir in supplied plan</t>
        </is>
      </c>
      <c r="E4" s="45" t="n">
        <v>6</v>
      </c>
      <c r="F4" s="46" t="n"/>
      <c r="G4" s="46" t="n"/>
      <c r="H4" s="44" t="inlineStr">
        <is>
          <t>Potential project reference; verify this supports individual contribution: docs/ARCHITECTURE.md; docs/DATA_DICTIONARY.md; backend/admitflow/analytics.py</t>
        </is>
      </c>
      <c r="I4" s="46" t="n"/>
      <c r="J4" s="47" t="inlineStr">
        <is>
          <t>PLANNED ONLY - confirm actual work</t>
        </is>
      </c>
    </row>
    <row r="5" ht="56" customHeight="1">
      <c r="A5" s="43" t="n">
        <v>46290</v>
      </c>
      <c r="B5" s="44" t="inlineStr">
        <is>
          <t>AF-009</t>
        </is>
      </c>
      <c r="C5" s="44" t="inlineStr">
        <is>
          <t>Data dictionary and synthetic-data protocol if needed</t>
        </is>
      </c>
      <c r="D5" s="44" t="inlineStr">
        <is>
          <t>Assigned to Zahir in supplied plan</t>
        </is>
      </c>
      <c r="E5" s="45" t="n">
        <v>5</v>
      </c>
      <c r="F5" s="46" t="n"/>
      <c r="G5" s="46" t="n"/>
      <c r="H5" s="44" t="inlineStr">
        <is>
          <t>Potential project reference; verify this supports individual contribution: backend/admitflow/data_generator.py; scripts/generate_dataset.py; docs/DATA_DICTIONARY.md</t>
        </is>
      </c>
      <c r="I5" s="46" t="n"/>
      <c r="J5" s="47" t="inlineStr">
        <is>
          <t>PLANNED ONLY - confirm actual work</t>
        </is>
      </c>
    </row>
    <row r="6" ht="56" customHeight="1">
      <c r="A6" s="43" t="n">
        <v>46291</v>
      </c>
      <c r="B6" s="44" t="inlineStr">
        <is>
          <t>AF-010</t>
        </is>
      </c>
      <c r="C6" s="44" t="inlineStr">
        <is>
          <t>Data intake/import</t>
        </is>
      </c>
      <c r="D6" s="44" t="inlineStr">
        <is>
          <t>Assigned to Zahir in supplied plan</t>
        </is>
      </c>
      <c r="E6" s="45" t="n">
        <v>6</v>
      </c>
      <c r="F6" s="46" t="n"/>
      <c r="G6" s="46" t="n"/>
      <c r="H6" s="44" t="inlineStr">
        <is>
          <t>To be completed only if work is performed and an artifact is created.</t>
        </is>
      </c>
      <c r="I6" s="46" t="n"/>
      <c r="J6" s="47" t="inlineStr">
        <is>
          <t>PLANNED ONLY - confirm actual work</t>
        </is>
      </c>
    </row>
    <row r="7" ht="56" customHeight="1">
      <c r="A7" s="43" t="n">
        <v>46291</v>
      </c>
      <c r="B7" s="44" t="inlineStr">
        <is>
          <t>AF-011</t>
        </is>
      </c>
      <c r="C7" s="44" t="inlineStr">
        <is>
          <t>Data validation and quality checks</t>
        </is>
      </c>
      <c r="D7" s="44" t="inlineStr">
        <is>
          <t>Assigned to Zahir in supplied plan</t>
        </is>
      </c>
      <c r="E7" s="45" t="n">
        <v>6</v>
      </c>
      <c r="F7" s="46" t="n"/>
      <c r="G7" s="46" t="n"/>
      <c r="H7" s="44" t="inlineStr">
        <is>
          <t>Potential project reference; verify this supports individual contribution: evidence/dataset/validation_report.json; backend/admitflow/data_generator.py</t>
        </is>
      </c>
      <c r="I7" s="46" t="n"/>
      <c r="J7" s="47" t="inlineStr">
        <is>
          <t>PLANNED ONLY - confirm actual work</t>
        </is>
      </c>
    </row>
    <row r="8" ht="56" customHeight="1">
      <c r="A8" s="43" t="n">
        <v>46291</v>
      </c>
      <c r="B8" s="44" t="inlineStr">
        <is>
          <t>AF-012</t>
        </is>
      </c>
      <c r="C8" s="44" t="inlineStr">
        <is>
          <t>Funnel conversion calculations</t>
        </is>
      </c>
      <c r="D8" s="44" t="inlineStr">
        <is>
          <t>Assigned to Zahir in supplied plan</t>
        </is>
      </c>
      <c r="E8" s="45" t="n">
        <v>7</v>
      </c>
      <c r="F8" s="46" t="n"/>
      <c r="G8" s="46" t="n"/>
      <c r="H8" s="44" t="inlineStr">
        <is>
          <t>Potential project reference; verify this supports individual contribution: evidence/metrics/analytics_report.json; backend/admitflow/analytics.py</t>
        </is>
      </c>
      <c r="I8" s="46" t="n"/>
      <c r="J8" s="47" t="inlineStr">
        <is>
          <t>PLANNED ONLY - confirm actual work</t>
        </is>
      </c>
    </row>
    <row r="9" ht="56" customHeight="1">
      <c r="A9" s="43" t="n">
        <v>46291</v>
      </c>
      <c r="B9" s="44" t="inlineStr">
        <is>
          <t>AF-013</t>
        </is>
      </c>
      <c r="C9" s="44" t="inlineStr">
        <is>
          <t>Cohort analytics and filters</t>
        </is>
      </c>
      <c r="D9" s="44" t="inlineStr">
        <is>
          <t>Assigned to Zahir in supplied plan</t>
        </is>
      </c>
      <c r="E9" s="45" t="n">
        <v>7</v>
      </c>
      <c r="F9" s="46" t="n"/>
      <c r="G9" s="46" t="n"/>
      <c r="H9" s="44" t="inlineStr">
        <is>
          <t>Potential project reference; verify this supports individual contribution: evidence/metrics/analytics_report.json; backend/admitflow/analytics.py</t>
        </is>
      </c>
      <c r="I9" s="46" t="n"/>
      <c r="J9" s="47" t="inlineStr">
        <is>
          <t>PLANNED ONLY - confirm actual work</t>
        </is>
      </c>
    </row>
    <row r="10" ht="56" customHeight="1">
      <c r="A10" s="43" t="n">
        <v>46291</v>
      </c>
      <c r="B10" s="44" t="inlineStr">
        <is>
          <t>AF-014</t>
        </is>
      </c>
      <c r="C10" s="44" t="inlineStr">
        <is>
          <t>Programme comparison</t>
        </is>
      </c>
      <c r="D10" s="44" t="inlineStr">
        <is>
          <t>Assigned to Zahir in supplied plan</t>
        </is>
      </c>
      <c r="E10" s="45" t="n">
        <v>5</v>
      </c>
      <c r="F10" s="46" t="n"/>
      <c r="G10" s="46" t="n"/>
      <c r="H10" s="44" t="inlineStr">
        <is>
          <t>Potential project reference; verify this supports individual contribution: evidence/metrics/analytics_report.json; backend/admitflow/analytics.py</t>
        </is>
      </c>
      <c r="I10" s="46" t="n"/>
      <c r="J10" s="47" t="inlineStr">
        <is>
          <t>PLANNED ONLY - confirm actual work</t>
        </is>
      </c>
    </row>
    <row r="11" ht="56" customHeight="1">
      <c r="A11" s="43" t="n">
        <v>46291</v>
      </c>
      <c r="B11" s="44" t="inlineStr">
        <is>
          <t>AF-015</t>
        </is>
      </c>
      <c r="C11" s="44" t="inlineStr">
        <is>
          <t>Target, prediction horizon and leakage rules</t>
        </is>
      </c>
      <c r="D11" s="44" t="inlineStr">
        <is>
          <t>Assigned to Zahir in supplied plan</t>
        </is>
      </c>
      <c r="E11" s="45" t="n">
        <v>4</v>
      </c>
      <c r="F11" s="46" t="n"/>
      <c r="G11" s="46" t="n"/>
      <c r="H11" s="44" t="inlineStr">
        <is>
          <t>Potential project reference; verify this supports individual contribution: docs/MODEL_METHODOLOGY.md; backend/admitflow/forecast.py</t>
        </is>
      </c>
      <c r="I11" s="46" t="n"/>
      <c r="J11" s="47" t="inlineStr">
        <is>
          <t>PLANNED ONLY - confirm actual work</t>
        </is>
      </c>
    </row>
    <row r="12" ht="56" customHeight="1">
      <c r="A12" s="43" t="n">
        <v>46291</v>
      </c>
      <c r="B12" s="44" t="inlineStr">
        <is>
          <t>AF-016</t>
        </is>
      </c>
      <c r="C12" s="44" t="inlineStr">
        <is>
          <t>Reproducible baseline model</t>
        </is>
      </c>
      <c r="D12" s="44" t="inlineStr">
        <is>
          <t>Assigned to Zahir in supplied plan</t>
        </is>
      </c>
      <c r="E12" s="45" t="n">
        <v>7</v>
      </c>
      <c r="F12" s="46" t="n"/>
      <c r="G12" s="46" t="n"/>
      <c r="H12" s="44" t="inlineStr">
        <is>
          <t>Potential project reference; verify this supports individual contribution: evidence/models/model_report.json; evidence/models/admitflow_model.joblib; backend/admitflow/ml.py</t>
        </is>
      </c>
      <c r="I12" s="46" t="n"/>
      <c r="J12" s="47" t="inlineStr">
        <is>
          <t>PLANNED ONLY - confirm actual work</t>
        </is>
      </c>
    </row>
    <row r="13" ht="56" customHeight="1">
      <c r="A13" s="43" t="n">
        <v>46291</v>
      </c>
      <c r="B13" s="44" t="inlineStr">
        <is>
          <t>AF-017</t>
        </is>
      </c>
      <c r="C13" s="44" t="inlineStr">
        <is>
          <t>Advanced model</t>
        </is>
      </c>
      <c r="D13" s="44" t="inlineStr">
        <is>
          <t>Assigned to Zahir in supplied plan</t>
        </is>
      </c>
      <c r="E13" s="45" t="n">
        <v>9</v>
      </c>
      <c r="F13" s="46" t="n"/>
      <c r="G13" s="46" t="n"/>
      <c r="H13" s="44" t="inlineStr">
        <is>
          <t>Potential project reference; verify this supports individual contribution: evidence/models/model_report.json; evidence/models/admitflow_model.joblib; backend/admitflow/ml.py</t>
        </is>
      </c>
      <c r="I13" s="46" t="n"/>
      <c r="J13" s="47" t="inlineStr">
        <is>
          <t>PLANNED ONLY - confirm actual work</t>
        </is>
      </c>
    </row>
    <row r="14" ht="56" customHeight="1">
      <c r="A14" s="43" t="n">
        <v>46292</v>
      </c>
      <c r="B14" s="44" t="inlineStr">
        <is>
          <t>AF-018</t>
        </is>
      </c>
      <c r="C14" s="44" t="inlineStr">
        <is>
          <t>Log loss and calibration evaluation</t>
        </is>
      </c>
      <c r="D14" s="44" t="inlineStr">
        <is>
          <t>Assigned to Zahir in supplied plan</t>
        </is>
      </c>
      <c r="E14" s="45" t="n">
        <v>6</v>
      </c>
      <c r="F14" s="46" t="n"/>
      <c r="G14" s="46" t="n"/>
      <c r="H14" s="44" t="inlineStr">
        <is>
          <t>Potential project reference; verify this supports individual contribution: evidence/models/model_report.json; docs/MODEL_METHODOLOGY.md</t>
        </is>
      </c>
      <c r="I14" s="46" t="n"/>
      <c r="J14" s="47" t="inlineStr">
        <is>
          <t>PLANNED ONLY - confirm actual work</t>
        </is>
      </c>
    </row>
    <row r="15" ht="56" customHeight="1">
      <c r="A15" s="43" t="n">
        <v>46292</v>
      </c>
      <c r="B15" s="44" t="inlineStr">
        <is>
          <t>AF-019</t>
        </is>
      </c>
      <c r="C15" s="44" t="inlineStr">
        <is>
          <t>Forecast deviation and segment stability</t>
        </is>
      </c>
      <c r="D15" s="44" t="inlineStr">
        <is>
          <t>Assigned to Zahir in supplied plan</t>
        </is>
      </c>
      <c r="E15" s="45" t="n">
        <v>5</v>
      </c>
      <c r="F15" s="46" t="n"/>
      <c r="G15" s="46" t="n"/>
      <c r="H15" s="44" t="inlineStr">
        <is>
          <t>Potential project reference; verify this supports individual contribution: evidence/metrics/forecast_report.json; docs/MODEL_METHODOLOGY.md</t>
        </is>
      </c>
      <c r="I15" s="46" t="n"/>
      <c r="J15" s="47" t="inlineStr">
        <is>
          <t>PLANNED ONLY - confirm actual work</t>
        </is>
      </c>
    </row>
    <row r="16" ht="56" customHeight="1">
      <c r="A16" s="43" t="n">
        <v>46292</v>
      </c>
      <c r="B16" s="44" t="inlineStr">
        <is>
          <t>AF-020</t>
        </is>
      </c>
      <c r="C16" s="44" t="inlineStr">
        <is>
          <t>Explainability and error analysis</t>
        </is>
      </c>
      <c r="D16" s="44" t="inlineStr">
        <is>
          <t>Assigned to Zahir in supplied plan</t>
        </is>
      </c>
      <c r="E16" s="45" t="n">
        <v>6</v>
      </c>
      <c r="F16" s="46" t="n"/>
      <c r="G16" s="46" t="n"/>
      <c r="H16" s="44" t="inlineStr">
        <is>
          <t>Potential project reference; verify this supports individual contribution: evidence/models/model_report.json; docs/MODEL_METHODOLOGY.md</t>
        </is>
      </c>
      <c r="I16" s="46" t="n"/>
      <c r="J16" s="47" t="inlineStr">
        <is>
          <t>PLANNED ONLY - confirm actual work</t>
        </is>
      </c>
    </row>
    <row r="17" ht="56" customHeight="1">
      <c r="A17" s="43" t="n">
        <v>46292</v>
      </c>
      <c r="B17" s="44" t="inlineStr">
        <is>
          <t>AF-021</t>
        </is>
      </c>
      <c r="C17" s="44" t="inlineStr">
        <is>
          <t>API/data contracts</t>
        </is>
      </c>
      <c r="D17" s="44" t="inlineStr">
        <is>
          <t>Assigned to Zahir in supplied plan</t>
        </is>
      </c>
      <c r="E17" s="45" t="n">
        <v>5</v>
      </c>
      <c r="F17" s="46" t="n"/>
      <c r="G17" s="46" t="n"/>
      <c r="H17" s="44" t="inlineStr">
        <is>
          <t>Potential project reference; verify this supports individual contribution: docs/API.md; backend/admitflow/server.py</t>
        </is>
      </c>
      <c r="I17" s="46" t="n"/>
      <c r="J17" s="47" t="inlineStr">
        <is>
          <t>PLANNED ONLY - confirm actual work</t>
        </is>
      </c>
    </row>
    <row r="18" ht="56" customHeight="1">
      <c r="A18" s="43" t="n">
        <v>46292</v>
      </c>
      <c r="B18" s="44" t="inlineStr">
        <is>
          <t>AF-022</t>
        </is>
      </c>
      <c r="C18" s="44" t="inlineStr">
        <is>
          <t>Authentication and authorization</t>
        </is>
      </c>
      <c r="D18" s="44" t="inlineStr">
        <is>
          <t>Assigned to Zahir in supplied plan</t>
        </is>
      </c>
      <c r="E18" s="45" t="n">
        <v>6</v>
      </c>
      <c r="F18" s="46" t="n"/>
      <c r="G18" s="46" t="n"/>
      <c r="H18" s="44" t="inlineStr">
        <is>
          <t>Potential project reference; verify this supports individual contribution: docs/API.md; backend/admitflow/auth.py; evidence/security/auth_check.json</t>
        </is>
      </c>
      <c r="I18" s="46" t="n"/>
      <c r="J18" s="47" t="inlineStr">
        <is>
          <t>PLANNED ONLY - confirm actual work</t>
        </is>
      </c>
    </row>
    <row r="19" ht="56" customHeight="1">
      <c r="A19" s="43" t="n">
        <v>46292</v>
      </c>
      <c r="B19" s="44" t="inlineStr">
        <is>
          <t>AF-023</t>
        </is>
      </c>
      <c r="C19" s="44" t="inlineStr">
        <is>
          <t>Forecast inference API</t>
        </is>
      </c>
      <c r="D19" s="44" t="inlineStr">
        <is>
          <t>Assigned to Zahir in supplied plan</t>
        </is>
      </c>
      <c r="E19" s="45" t="n">
        <v>6</v>
      </c>
      <c r="F19" s="46" t="n"/>
      <c r="G19" s="46" t="n"/>
      <c r="H19" s="44" t="inlineStr">
        <is>
          <t>Potential project reference; verify this supports individual contribution: docs/API.md; backend/admitflow/forecast.py; evidence/api/api_smoke.json</t>
        </is>
      </c>
      <c r="I19" s="46" t="n"/>
      <c r="J19" s="47" t="inlineStr">
        <is>
          <t>PLANNED ONLY - confirm actual work</t>
        </is>
      </c>
    </row>
    <row r="20" ht="56" customHeight="1">
      <c r="A20" s="43" t="n">
        <v>46292</v>
      </c>
      <c r="B20" s="44" t="inlineStr">
        <is>
          <t>AF-024</t>
        </is>
      </c>
      <c r="C20" s="44" t="inlineStr">
        <is>
          <t>Scenario simulation service</t>
        </is>
      </c>
      <c r="D20" s="44" t="inlineStr">
        <is>
          <t>Assigned to Zahir in supplied plan</t>
        </is>
      </c>
      <c r="E20" s="45" t="n">
        <v>7</v>
      </c>
      <c r="F20" s="46" t="n"/>
      <c r="G20" s="46" t="n"/>
      <c r="H20" s="44" t="inlineStr">
        <is>
          <t>Potential project reference; verify this supports individual contribution: backend/admitflow/scenario.py; evidence/metrics/scenario_report.json; evidence/api/api_smoke.json</t>
        </is>
      </c>
      <c r="I20" s="46" t="n"/>
      <c r="J20" s="47" t="inlineStr">
        <is>
          <t>PLANNED ONLY - confirm actual work</t>
        </is>
      </c>
    </row>
    <row r="21" ht="56" customHeight="1">
      <c r="A21" s="43" t="n">
        <v>46292</v>
      </c>
      <c r="B21" s="44" t="inlineStr">
        <is>
          <t>AF-025</t>
        </is>
      </c>
      <c r="C21" s="44" t="inlineStr">
        <is>
          <t>Actions and audit APIs</t>
        </is>
      </c>
      <c r="D21" s="44" t="inlineStr">
        <is>
          <t>Assigned to Zahir in supplied plan</t>
        </is>
      </c>
      <c r="E21" s="45" t="n">
        <v>5</v>
      </c>
      <c r="F21" s="46" t="n"/>
      <c r="G21" s="46" t="n"/>
      <c r="H21" s="44" t="inlineStr">
        <is>
          <t>Potential project reference; verify this supports individual contribution: docs/API.md; backend/admitflow/server.py; evidence/api/api_smoke.json</t>
        </is>
      </c>
      <c r="I21" s="46" t="n"/>
      <c r="J21" s="47" t="inlineStr">
        <is>
          <t>PLANNED ONLY - confirm actual work</t>
        </is>
      </c>
    </row>
    <row r="22" ht="56" customHeight="1">
      <c r="A22" s="43" t="n">
        <v>46292</v>
      </c>
      <c r="B22" s="44" t="inlineStr">
        <is>
          <t>AF-026</t>
        </is>
      </c>
      <c r="C22" s="44" t="inlineStr">
        <is>
          <t>Premium application shell</t>
        </is>
      </c>
      <c r="D22" s="44" t="inlineStr">
        <is>
          <t>Assigned to Zahir in supplied plan</t>
        </is>
      </c>
      <c r="E22" s="45" t="n">
        <v>5</v>
      </c>
      <c r="F22" s="46" t="n"/>
      <c r="G22" s="46" t="n"/>
      <c r="H22" s="44" t="inlineStr">
        <is>
          <t>Potential project reference; verify this supports individual contribution: frontend/src/App.jsx; evidence/screenshots/login-redesign.png; evidence/screenshots/dashboard-redesign.png</t>
        </is>
      </c>
      <c r="I22" s="46" t="n"/>
      <c r="J22" s="47" t="inlineStr">
        <is>
          <t>PLANNED ONLY - confirm actual work</t>
        </is>
      </c>
    </row>
    <row r="23" ht="56" customHeight="1">
      <c r="A23" s="43" t="n">
        <v>46293</v>
      </c>
      <c r="B23" s="44" t="inlineStr">
        <is>
          <t>AF-027</t>
        </is>
      </c>
      <c r="C23" s="44" t="inlineStr">
        <is>
          <t>Command Center dashboard</t>
        </is>
      </c>
      <c r="D23" s="44" t="inlineStr">
        <is>
          <t>Assigned to Zahir in supplied plan</t>
        </is>
      </c>
      <c r="E23" s="45" t="n">
        <v>8</v>
      </c>
      <c r="F23" s="46" t="n"/>
      <c r="G23" s="46" t="n"/>
      <c r="H23" s="44" t="inlineStr">
        <is>
          <t>Potential project reference; verify this supports individual contribution: frontend/src/App.jsx; evidence/screenshots/dashboard-redesign.png; evidence/screenshots/dashboard-dark.png</t>
        </is>
      </c>
      <c r="I23" s="46" t="n"/>
      <c r="J23" s="47" t="inlineStr">
        <is>
          <t>PLANNED ONLY - confirm actual work</t>
        </is>
      </c>
    </row>
    <row r="24" ht="56" customHeight="1">
      <c r="A24" s="43" t="n">
        <v>46293</v>
      </c>
      <c r="B24" s="44" t="inlineStr">
        <is>
          <t>AF-028</t>
        </is>
      </c>
      <c r="C24" s="44" t="inlineStr">
        <is>
          <t>Funnel Explorer</t>
        </is>
      </c>
      <c r="D24" s="44" t="inlineStr">
        <is>
          <t>Assigned to Zahir in supplied plan</t>
        </is>
      </c>
      <c r="E24" s="45" t="n">
        <v>6</v>
      </c>
      <c r="F24" s="46" t="n"/>
      <c r="G24" s="46" t="n"/>
      <c r="H24" s="44" t="inlineStr">
        <is>
          <t>Potential project reference; verify this supports individual contribution: frontend/src/pages/WorkspacePages.jsx; evidence/metrics/analytics_report.json</t>
        </is>
      </c>
      <c r="I24" s="46" t="n"/>
      <c r="J24" s="47" t="inlineStr">
        <is>
          <t>PLANNED ONLY - confirm actual work</t>
        </is>
      </c>
    </row>
    <row r="25" ht="56" customHeight="1">
      <c r="A25" s="43" t="n">
        <v>46293</v>
      </c>
      <c r="B25" s="44" t="inlineStr">
        <is>
          <t>AF-029</t>
        </is>
      </c>
      <c r="C25" s="44" t="inlineStr">
        <is>
          <t>Cohort Explorer</t>
        </is>
      </c>
      <c r="D25" s="44" t="inlineStr">
        <is>
          <t>Assigned to Zahir in supplied plan</t>
        </is>
      </c>
      <c r="E25" s="45" t="n">
        <v>6</v>
      </c>
      <c r="F25" s="46" t="n"/>
      <c r="G25" s="46" t="n"/>
      <c r="H25" s="44" t="inlineStr">
        <is>
          <t>Potential project reference; verify this supports individual contribution: frontend/src/pages/WorkspacePages.jsx; evidence/metrics/analytics_report.json</t>
        </is>
      </c>
      <c r="I25" s="46" t="n"/>
      <c r="J25" s="47" t="inlineStr">
        <is>
          <t>PLANNED ONLY - confirm actual work</t>
        </is>
      </c>
    </row>
    <row r="26" ht="56" customHeight="1">
      <c r="A26" s="43" t="n">
        <v>46293</v>
      </c>
      <c r="B26" s="44" t="inlineStr">
        <is>
          <t>AF-030</t>
        </is>
      </c>
      <c r="C26" s="44" t="inlineStr">
        <is>
          <t>Forecasting workspace</t>
        </is>
      </c>
      <c r="D26" s="44" t="inlineStr">
        <is>
          <t>Assigned to Zahir in supplied plan</t>
        </is>
      </c>
      <c r="E26" s="45" t="n">
        <v>6</v>
      </c>
      <c r="F26" s="46" t="n"/>
      <c r="G26" s="46" t="n"/>
      <c r="H26" s="44" t="inlineStr">
        <is>
          <t>Potential project reference; verify this supports individual contribution: frontend/src/pages/WorkspacePages.jsx; evidence/metrics/forecast_report.json</t>
        </is>
      </c>
      <c r="I26" s="46" t="n"/>
      <c r="J26" s="47" t="inlineStr">
        <is>
          <t>PLANNED ONLY - confirm actual work</t>
        </is>
      </c>
    </row>
    <row r="27" ht="56" customHeight="1">
      <c r="A27" s="43" t="n">
        <v>46293</v>
      </c>
      <c r="B27" s="44" t="inlineStr">
        <is>
          <t>AF-031</t>
        </is>
      </c>
      <c r="C27" s="44" t="inlineStr">
        <is>
          <t>Scenario Lab</t>
        </is>
      </c>
      <c r="D27" s="44" t="inlineStr">
        <is>
          <t>Assigned to Zahir in supplied plan</t>
        </is>
      </c>
      <c r="E27" s="45" t="n">
        <v>8</v>
      </c>
      <c r="F27" s="46" t="n"/>
      <c r="G27" s="46" t="n"/>
      <c r="H27" s="44" t="inlineStr">
        <is>
          <t>Potential project reference; verify this supports individual contribution: frontend/src/pages/WorkspacePages.jsx; evidence/metrics/scenario_report.json; evidence/screenshots/scenario-redesign.png</t>
        </is>
      </c>
      <c r="I27" s="46" t="n"/>
      <c r="J27" s="47" t="inlineStr">
        <is>
          <t>PLANNED ONLY - confirm actual work</t>
        </is>
      </c>
    </row>
    <row r="28" ht="56" customHeight="1">
      <c r="A28" s="43" t="n">
        <v>46293</v>
      </c>
      <c r="B28" s="44" t="inlineStr">
        <is>
          <t>AF-032</t>
        </is>
      </c>
      <c r="C28" s="44" t="inlineStr">
        <is>
          <t>Programme Comparison</t>
        </is>
      </c>
      <c r="D28" s="44" t="inlineStr">
        <is>
          <t>Assigned to Zahir in supplied plan</t>
        </is>
      </c>
      <c r="E28" s="45" t="n">
        <v>5</v>
      </c>
      <c r="F28" s="46" t="n"/>
      <c r="G28" s="46" t="n"/>
      <c r="H28" s="44" t="inlineStr">
        <is>
          <t>Potential project reference; verify this supports individual contribution: frontend/src/pages/WorkspacePages.jsx; evidence/metrics/analytics_report.json</t>
        </is>
      </c>
      <c r="I28" s="46" t="n"/>
      <c r="J28" s="47" t="inlineStr">
        <is>
          <t>PLANNED ONLY - confirm actual work</t>
        </is>
      </c>
    </row>
    <row r="29" ht="56" customHeight="1">
      <c r="A29" s="43" t="n">
        <v>46293</v>
      </c>
      <c r="B29" s="44" t="inlineStr">
        <is>
          <t>AF-033</t>
        </is>
      </c>
      <c r="C29" s="44" t="inlineStr">
        <is>
          <t>Data Quality center</t>
        </is>
      </c>
      <c r="D29" s="44" t="inlineStr">
        <is>
          <t>Assigned to Zahir in supplied plan</t>
        </is>
      </c>
      <c r="E29" s="45" t="n">
        <v>5</v>
      </c>
      <c r="F29" s="46" t="n"/>
      <c r="G29" s="46" t="n"/>
      <c r="H29" s="44" t="inlineStr">
        <is>
          <t>Potential project reference; verify this supports individual contribution: frontend/src/pages/WorkspacePages.jsx; evidence/dataset/validation_report.json</t>
        </is>
      </c>
      <c r="I29" s="46" t="n"/>
      <c r="J29" s="47" t="inlineStr">
        <is>
          <t>PLANNED ONLY - confirm actual work</t>
        </is>
      </c>
    </row>
    <row r="30" ht="56" customHeight="1">
      <c r="A30" s="43" t="n">
        <v>46293</v>
      </c>
      <c r="B30" s="44" t="inlineStr">
        <is>
          <t>AF-034</t>
        </is>
      </c>
      <c r="C30" s="44" t="inlineStr">
        <is>
          <t>Actions and Audit screens</t>
        </is>
      </c>
      <c r="D30" s="44" t="inlineStr">
        <is>
          <t>Assigned to Zahir in supplied plan</t>
        </is>
      </c>
      <c r="E30" s="45" t="n">
        <v>5</v>
      </c>
      <c r="F30" s="46" t="n"/>
      <c r="G30" s="46" t="n"/>
      <c r="H30" s="44" t="inlineStr">
        <is>
          <t>Potential project reference; verify this supports individual contribution: frontend/src/pages/WorkspacePages.jsx; backend/admitflow/server.py</t>
        </is>
      </c>
      <c r="I30" s="46" t="n"/>
      <c r="J30" s="47" t="inlineStr">
        <is>
          <t>PLANNED ONLY - confirm actual work</t>
        </is>
      </c>
    </row>
    <row r="31" ht="56" customHeight="1">
      <c r="A31" s="43" t="n">
        <v>46294</v>
      </c>
      <c r="B31" s="44" t="inlineStr">
        <is>
          <t>AF-035</t>
        </is>
      </c>
      <c r="C31" s="44" t="inlineStr">
        <is>
          <t>Model/System transparency panel</t>
        </is>
      </c>
      <c r="D31" s="44" t="inlineStr">
        <is>
          <t>Assigned to Zahir in supplied plan</t>
        </is>
      </c>
      <c r="E31" s="45" t="n">
        <v>4</v>
      </c>
      <c r="F31" s="46" t="n"/>
      <c r="G31" s="46" t="n"/>
      <c r="H31" s="44" t="inlineStr">
        <is>
          <t>Potential project reference; verify this supports individual contribution: frontend/src/pages/WorkspacePages.jsx; evidence/models/model_report.json</t>
        </is>
      </c>
      <c r="I31" s="46" t="n"/>
      <c r="J31" s="47" t="inlineStr">
        <is>
          <t>PLANNED ONLY - confirm actual work</t>
        </is>
      </c>
    </row>
    <row r="32" ht="56" customHeight="1">
      <c r="A32" s="43" t="n">
        <v>46294</v>
      </c>
      <c r="B32" s="44" t="inlineStr">
        <is>
          <t>AF-036</t>
        </is>
      </c>
      <c r="C32" s="44" t="inlineStr">
        <is>
          <t>Assistant</t>
        </is>
      </c>
      <c r="D32" s="44" t="inlineStr">
        <is>
          <t>Assigned to Zahir in supplied plan</t>
        </is>
      </c>
      <c r="E32" s="45" t="n">
        <v>6</v>
      </c>
      <c r="F32" s="46" t="n"/>
      <c r="G32" s="46" t="n"/>
      <c r="H32" s="44" t="inlineStr">
        <is>
          <t>Potential project reference; verify this supports individual contribution: frontend/src/components/AssistantPanel.jsx; docs/API.md; evidence/screenshots/assistant-offline.png</t>
        </is>
      </c>
      <c r="I32" s="46" t="n"/>
      <c r="J32" s="47" t="inlineStr">
        <is>
          <t>PLANNED ONLY - confirm actual work</t>
        </is>
      </c>
    </row>
    <row r="33" ht="56" customHeight="1">
      <c r="A33" s="43" t="n">
        <v>46294</v>
      </c>
      <c r="B33" s="44" t="inlineStr">
        <is>
          <t>AF-037</t>
        </is>
      </c>
      <c r="C33" s="44" t="inlineStr">
        <is>
          <t>Unit tests</t>
        </is>
      </c>
      <c r="D33" s="44" t="inlineStr">
        <is>
          <t>Assigned to Zahir in supplied plan</t>
        </is>
      </c>
      <c r="E33" s="45" t="n">
        <v>6</v>
      </c>
      <c r="F33" s="46" t="n"/>
      <c r="G33" s="46" t="n"/>
      <c r="H33" s="44" t="inlineStr">
        <is>
          <t>Potential project reference; verify this supports individual contribution: tests/; evidence/tests/backend_pytest.txt; frontend/src/App.test.jsx; evidence/tests/frontend_vitest.txt</t>
        </is>
      </c>
      <c r="I33" s="46" t="n"/>
      <c r="J33" s="47" t="inlineStr">
        <is>
          <t>PLANNED ONLY - confirm actual work</t>
        </is>
      </c>
    </row>
    <row r="34" ht="56" customHeight="1">
      <c r="A34" s="43" t="n">
        <v>46294</v>
      </c>
      <c r="B34" s="44" t="inlineStr">
        <is>
          <t>AF-038</t>
        </is>
      </c>
      <c r="C34" s="44" t="inlineStr">
        <is>
          <t>Integration/API tests</t>
        </is>
      </c>
      <c r="D34" s="44" t="inlineStr">
        <is>
          <t>Assigned to Zahir in supplied plan</t>
        </is>
      </c>
      <c r="E34" s="45" t="n">
        <v>6</v>
      </c>
      <c r="F34" s="46" t="n"/>
      <c r="G34" s="46" t="n"/>
      <c r="H34" s="44" t="inlineStr">
        <is>
          <t>Potential project reference; verify this supports individual contribution: tests/test_api.py; tests/test_security.py; evidence/api/api_smoke.json</t>
        </is>
      </c>
      <c r="I34" s="46" t="n"/>
      <c r="J34" s="47" t="inlineStr">
        <is>
          <t>PLANNED ONLY - confirm actual work</t>
        </is>
      </c>
    </row>
    <row r="35" ht="56" customHeight="1">
      <c r="A35" s="43" t="n">
        <v>46294</v>
      </c>
      <c r="B35" s="44" t="inlineStr">
        <is>
          <t>AF-039</t>
        </is>
      </c>
      <c r="C35" s="44" t="inlineStr">
        <is>
          <t>Failure-mode and robustness tests</t>
        </is>
      </c>
      <c r="D35" s="44" t="inlineStr">
        <is>
          <t>Assigned to Zahir in supplied plan</t>
        </is>
      </c>
      <c r="E35" s="45" t="n">
        <v>5</v>
      </c>
      <c r="F35" s="46" t="n"/>
      <c r="G35" s="46" t="n"/>
      <c r="H35" s="44" t="inlineStr">
        <is>
          <t>Potential project reference; verify this supports individual contribution: tests/; docs/TESTING.md</t>
        </is>
      </c>
      <c r="I35" s="46" t="n"/>
      <c r="J35" s="47" t="inlineStr">
        <is>
          <t>PLANNED ONLY - confirm actual work</t>
        </is>
      </c>
    </row>
    <row r="36" ht="56" customHeight="1">
      <c r="A36" s="43" t="n">
        <v>46294</v>
      </c>
      <c r="B36" s="44" t="inlineStr">
        <is>
          <t>AF-040</t>
        </is>
      </c>
      <c r="C36" s="44" t="inlineStr">
        <is>
          <t>Security/privacy checks</t>
        </is>
      </c>
      <c r="D36" s="44" t="inlineStr">
        <is>
          <t>Assigned to Zahir in supplied plan</t>
        </is>
      </c>
      <c r="E36" s="45" t="n">
        <v>5</v>
      </c>
      <c r="F36" s="46" t="n"/>
      <c r="G36" s="46" t="n"/>
      <c r="H36" s="44" t="inlineStr">
        <is>
          <t>Potential project reference; verify this supports individual contribution: tests/test_auth.py; tests/test_security.py; evidence/security/auth_check.json</t>
        </is>
      </c>
      <c r="I36" s="46" t="n"/>
      <c r="J36" s="47" t="inlineStr">
        <is>
          <t>PLANNED ONLY - confirm actual work</t>
        </is>
      </c>
    </row>
    <row r="37" ht="56" customHeight="1">
      <c r="A37" s="43" t="n">
        <v>46294</v>
      </c>
      <c r="B37" s="44" t="inlineStr">
        <is>
          <t>AF-041</t>
        </is>
      </c>
      <c r="C37" s="44" t="inlineStr">
        <is>
          <t>Docker/reproducible deployment</t>
        </is>
      </c>
      <c r="D37" s="44" t="inlineStr">
        <is>
          <t>Assigned to Zahir in supplied plan</t>
        </is>
      </c>
      <c r="E37" s="45" t="n">
        <v>4</v>
      </c>
      <c r="F37" s="46" t="n"/>
      <c r="G37" s="46" t="n"/>
      <c r="H37" s="44" t="inlineStr">
        <is>
          <t>To be completed only if work is performed and an artifact is created.</t>
        </is>
      </c>
      <c r="I37" s="46" t="n"/>
      <c r="J37" s="47" t="inlineStr">
        <is>
          <t>PLANNED ONLY - confirm actual work</t>
        </is>
      </c>
    </row>
    <row r="38" ht="56" customHeight="1">
      <c r="A38" s="43" t="n">
        <v>46294</v>
      </c>
      <c r="B38" s="44" t="inlineStr">
        <is>
          <t>AF-042</t>
        </is>
      </c>
      <c r="C38" s="44" t="inlineStr">
        <is>
          <t>CI/CD pipeline</t>
        </is>
      </c>
      <c r="D38" s="44" t="inlineStr">
        <is>
          <t>Assigned to Zahir in supplied plan</t>
        </is>
      </c>
      <c r="E38" s="45" t="n">
        <v>4</v>
      </c>
      <c r="F38" s="46" t="n"/>
      <c r="G38" s="46" t="n"/>
      <c r="H38" s="44" t="inlineStr">
        <is>
          <t>To be completed only if work is performed and an artifact is created.</t>
        </is>
      </c>
      <c r="I38" s="46" t="n"/>
      <c r="J38" s="47" t="inlineStr">
        <is>
          <t>PLANNED ONLY - confirm actual work</t>
        </is>
      </c>
    </row>
    <row r="39" ht="56" customHeight="1">
      <c r="A39" s="43" t="n">
        <v>46295</v>
      </c>
      <c r="B39" s="44" t="inlineStr">
        <is>
          <t>AF-043</t>
        </is>
      </c>
      <c r="C39" s="44" t="inlineStr">
        <is>
          <t>Logs, health and monitoring</t>
        </is>
      </c>
      <c r="D39" s="44" t="inlineStr">
        <is>
          <t>Assigned to Zahir in supplied plan</t>
        </is>
      </c>
      <c r="E39" s="45" t="n">
        <v>5</v>
      </c>
      <c r="F39" s="46" t="n"/>
      <c r="G39" s="46" t="n"/>
      <c r="H39" s="44" t="inlineStr">
        <is>
          <t>Potential project reference; verify this supports individual contribution: docs/API.md; backend/admitflow/server.py (local health route only)</t>
        </is>
      </c>
      <c r="I39" s="46" t="n"/>
      <c r="J39" s="47" t="inlineStr">
        <is>
          <t>PLANNED ONLY - confirm actual work</t>
        </is>
      </c>
    </row>
    <row r="40" ht="56" customHeight="1">
      <c r="A40" s="43" t="n">
        <v>46295</v>
      </c>
      <c r="B40" s="44" t="inlineStr">
        <is>
          <t>AF-044</t>
        </is>
      </c>
      <c r="C40" s="44" t="inlineStr">
        <is>
          <t>Live deployment</t>
        </is>
      </c>
      <c r="D40" s="44" t="inlineStr">
        <is>
          <t>Assigned to Zahir in supplied plan</t>
        </is>
      </c>
      <c r="E40" s="45" t="n">
        <v>6</v>
      </c>
      <c r="F40" s="46" t="n"/>
      <c r="G40" s="46" t="n"/>
      <c r="H40" s="44" t="inlineStr">
        <is>
          <t>To be completed only if work is performed and an artifact is created.</t>
        </is>
      </c>
      <c r="I40" s="46" t="n"/>
      <c r="J40" s="47" t="inlineStr">
        <is>
          <t>PLANNED ONLY - confirm actual work</t>
        </is>
      </c>
    </row>
    <row r="41" ht="56" customHeight="1">
      <c r="A41" s="43" t="n">
        <v>46295</v>
      </c>
      <c r="B41" s="44" t="inlineStr">
        <is>
          <t>AF-045</t>
        </is>
      </c>
      <c r="C41" s="44" t="inlineStr">
        <is>
          <t>Production smoke tests</t>
        </is>
      </c>
      <c r="D41" s="44" t="inlineStr">
        <is>
          <t>Assigned to Zahir in supplied plan</t>
        </is>
      </c>
      <c r="E41" s="45" t="n">
        <v>3</v>
      </c>
      <c r="F41" s="46" t="n"/>
      <c r="G41" s="46" t="n"/>
      <c r="H41" s="44" t="inlineStr">
        <is>
          <t>Potential project reference; verify this supports individual contribution: evidence/api/api_smoke.json (local API smoke evidence; production deployment not verified).</t>
        </is>
      </c>
      <c r="I41" s="46" t="n"/>
      <c r="J41" s="47" t="inlineStr">
        <is>
          <t>PLANNED ONLY - confirm actual work</t>
        </is>
      </c>
    </row>
    <row r="42" ht="56" customHeight="1">
      <c r="A42" s="43" t="n">
        <v>46297</v>
      </c>
      <c r="B42" s="44" t="inlineStr">
        <is>
          <t>AF-064</t>
        </is>
      </c>
      <c r="C42" s="44" t="inlineStr">
        <is>
          <t>Full regression and acceptance checklist</t>
        </is>
      </c>
      <c r="D42" s="44" t="inlineStr">
        <is>
          <t>Joint assignment (verify each student's contribution)</t>
        </is>
      </c>
      <c r="E42" s="45" t="n">
        <v>6</v>
      </c>
      <c r="F42" s="46" t="n"/>
      <c r="G42" s="46" t="n"/>
      <c r="H42" s="44" t="inlineStr">
        <is>
          <t>Potential project reference; verify this supports individual contribution: evidence/tests/backend_pytest.txt; evidence/tests/frontend_vitest.txt; docs/ACCEPTANCE_CRITERIA.md</t>
        </is>
      </c>
      <c r="I42" s="46" t="n"/>
      <c r="J42" s="47" t="inlineStr">
        <is>
          <t>PLANNED ONLY - confirm actual work</t>
        </is>
      </c>
    </row>
    <row r="43" ht="56" customHeight="1">
      <c r="A43" s="43" t="n">
        <v>46297</v>
      </c>
      <c r="B43" s="44" t="inlineStr">
        <is>
          <t>AF-065</t>
        </is>
      </c>
      <c r="C43" s="44" t="inlineStr">
        <is>
          <t>Stakeholder usability evaluation</t>
        </is>
      </c>
      <c r="D43" s="44" t="inlineStr">
        <is>
          <t>Joint assignment (verify each student's contribution)</t>
        </is>
      </c>
      <c r="E43" s="45" t="n">
        <v>5</v>
      </c>
      <c r="F43" s="46" t="n"/>
      <c r="G43" s="46" t="n"/>
      <c r="H43" s="44" t="inlineStr">
        <is>
          <t>To be completed only if work is performed and an artifact is created.</t>
        </is>
      </c>
      <c r="I43" s="46" t="n"/>
      <c r="J43" s="47" t="inlineStr">
        <is>
          <t>PLANNED ONLY - confirm actual work</t>
        </is>
      </c>
    </row>
    <row r="44" ht="56" customHeight="1">
      <c r="A44" s="43" t="n">
        <v>46297</v>
      </c>
      <c r="B44" s="44" t="inlineStr">
        <is>
          <t>AF-066</t>
        </is>
      </c>
      <c r="C44" s="44" t="inlineStr">
        <is>
          <t>5?8 minute product demo</t>
        </is>
      </c>
      <c r="D44" s="44" t="inlineStr">
        <is>
          <t>Joint assignment (verify each student's contribution)</t>
        </is>
      </c>
      <c r="E44" s="45" t="n">
        <v>4</v>
      </c>
      <c r="F44" s="46" t="n"/>
      <c r="G44" s="46" t="n"/>
      <c r="H44" s="44" t="inlineStr">
        <is>
          <t>To be completed only if work is performed and an artifact is created.</t>
        </is>
      </c>
      <c r="I44" s="46" t="n"/>
      <c r="J44" s="47" t="inlineStr">
        <is>
          <t>PLANNED ONLY - confirm actual work</t>
        </is>
      </c>
    </row>
    <row r="45" ht="56" customHeight="1">
      <c r="A45" s="43" t="n">
        <v>46297</v>
      </c>
      <c r="B45" s="44" t="inlineStr">
        <is>
          <t>AF-067</t>
        </is>
      </c>
      <c r="C45" s="44" t="inlineStr">
        <is>
          <t>Presentation and viva evidence</t>
        </is>
      </c>
      <c r="D45" s="44" t="inlineStr">
        <is>
          <t>Joint assignment (verify each student's contribution)</t>
        </is>
      </c>
      <c r="E45" s="45" t="n">
        <v>5</v>
      </c>
      <c r="F45" s="46" t="n"/>
      <c r="G45" s="46" t="n"/>
      <c r="H45" s="44" t="inlineStr">
        <is>
          <t>To be completed only if work is performed and an artifact is created.</t>
        </is>
      </c>
      <c r="I45" s="46" t="n"/>
      <c r="J45" s="47" t="inlineStr">
        <is>
          <t>PLANNED ONLY - confirm actual work</t>
        </is>
      </c>
    </row>
    <row r="46" ht="56" customHeight="1">
      <c r="A46" s="43" t="n">
        <v>46298</v>
      </c>
      <c r="B46" s="44" t="inlineStr">
        <is>
          <t>AF-068</t>
        </is>
      </c>
      <c r="C46" s="44" t="inlineStr">
        <is>
          <t>Finalize actual contribution evidence and logs</t>
        </is>
      </c>
      <c r="D46" s="44" t="inlineStr">
        <is>
          <t>Joint assignment (verify each student's contribution)</t>
        </is>
      </c>
      <c r="E46" s="45" t="n">
        <v>4</v>
      </c>
      <c r="F46" s="46" t="n"/>
      <c r="G46" s="46" t="n"/>
      <c r="H46" s="44" t="inlineStr">
        <is>
          <t>To be completed only if work is performed and an artifact is created.</t>
        </is>
      </c>
      <c r="I46" s="46" t="n"/>
      <c r="J46" s="47" t="inlineStr">
        <is>
          <t>PLANNED ONLY - confirm actual work</t>
        </is>
      </c>
    </row>
  </sheetData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2026-10-03T04:52:03Z</dcterms:created>
  <dcterms:modified xmlns:dcterms="http://purl.org/dc/terms/" xmlns:xsi="http://www.w3.org/2001/XMLSchema-instance" xsi:type="dcterms:W3CDTF">2026-10-03T05:32:01Z</dcterms:modified>
</cp:coreProperties>
</file>